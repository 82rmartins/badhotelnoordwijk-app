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kafrahousing-my.sharepoint.com/personal/rmartins_kafrahousing_com/Documents/Documenten/Bad Hotel Noordwijk/"/>
    </mc:Choice>
  </mc:AlternateContent>
  <xr:revisionPtr revIDLastSave="13" documentId="8_{167945DE-5E28-4221-B5D8-8705C20706DD}" xr6:coauthVersionLast="47" xr6:coauthVersionMax="47" xr10:uidLastSave="{41C06DEF-DDD2-4EED-9B52-1FD70AAAF13E}"/>
  <bookViews>
    <workbookView xWindow="-108" yWindow="-108" windowWidth="23256" windowHeight="13896" xr2:uid="{00000000-000D-0000-FFFF-FFFF00000000}"/>
  </bookViews>
  <sheets>
    <sheet name="2026_Values" sheetId="1" r:id="rId1"/>
    <sheet name="2026_Formulas" sheetId="2" r:id="rId2"/>
    <sheet name="2026_Weekly" sheetId="3" r:id="rId3"/>
    <sheet name="2026_Month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4" l="1"/>
  <c r="J13" i="4"/>
  <c r="I13" i="4"/>
  <c r="H13" i="4"/>
  <c r="G13" i="4"/>
  <c r="F13" i="4"/>
  <c r="E13" i="4"/>
  <c r="D13" i="4"/>
  <c r="K12" i="4"/>
  <c r="J12" i="4"/>
  <c r="I12" i="4"/>
  <c r="H12" i="4"/>
  <c r="G12" i="4"/>
  <c r="F12" i="4"/>
  <c r="E12" i="4"/>
  <c r="D12" i="4"/>
  <c r="K11" i="4"/>
  <c r="J11" i="4"/>
  <c r="I11" i="4"/>
  <c r="H11" i="4"/>
  <c r="G11" i="4"/>
  <c r="F11" i="4"/>
  <c r="E11" i="4"/>
  <c r="D11" i="4"/>
  <c r="K10" i="4"/>
  <c r="J10" i="4"/>
  <c r="I10" i="4"/>
  <c r="G10" i="4"/>
  <c r="H10" i="4" s="1"/>
  <c r="E10" i="4"/>
  <c r="F10" i="4" s="1"/>
  <c r="D10" i="4"/>
  <c r="K9" i="4"/>
  <c r="J9" i="4"/>
  <c r="I9" i="4"/>
  <c r="G9" i="4"/>
  <c r="H9" i="4" s="1"/>
  <c r="E9" i="4"/>
  <c r="F9" i="4" s="1"/>
  <c r="D9" i="4"/>
  <c r="K8" i="4"/>
  <c r="J8" i="4"/>
  <c r="I8" i="4"/>
  <c r="G8" i="4"/>
  <c r="H8" i="4" s="1"/>
  <c r="E8" i="4"/>
  <c r="F8" i="4" s="1"/>
  <c r="D8" i="4"/>
  <c r="K7" i="4"/>
  <c r="J7" i="4"/>
  <c r="I7" i="4"/>
  <c r="G7" i="4"/>
  <c r="H7" i="4" s="1"/>
  <c r="E7" i="4"/>
  <c r="D7" i="4"/>
  <c r="F7" i="4" s="1"/>
  <c r="K6" i="4"/>
  <c r="J6" i="4"/>
  <c r="I6" i="4"/>
  <c r="G6" i="4"/>
  <c r="F6" i="4"/>
  <c r="E6" i="4"/>
  <c r="H6" i="4" s="1"/>
  <c r="D6" i="4"/>
  <c r="K5" i="4"/>
  <c r="J5" i="4"/>
  <c r="I5" i="4"/>
  <c r="H5" i="4"/>
  <c r="G5" i="4"/>
  <c r="E5" i="4"/>
  <c r="D5" i="4"/>
  <c r="F5" i="4" s="1"/>
  <c r="K4" i="4"/>
  <c r="J4" i="4"/>
  <c r="I4" i="4"/>
  <c r="G4" i="4"/>
  <c r="E4" i="4"/>
  <c r="H4" i="4" s="1"/>
  <c r="D4" i="4"/>
  <c r="K3" i="4"/>
  <c r="J3" i="4"/>
  <c r="I3" i="4"/>
  <c r="H3" i="4"/>
  <c r="G3" i="4"/>
  <c r="E3" i="4"/>
  <c r="F3" i="4" s="1"/>
  <c r="D3" i="4"/>
  <c r="K2" i="4"/>
  <c r="J2" i="4"/>
  <c r="I2" i="4"/>
  <c r="G2" i="4"/>
  <c r="H2" i="4" s="1"/>
  <c r="E2" i="4"/>
  <c r="F2" i="4" s="1"/>
  <c r="D2" i="4"/>
  <c r="K54" i="3"/>
  <c r="J54" i="3"/>
  <c r="I54" i="3"/>
  <c r="G54" i="3"/>
  <c r="H54" i="3" s="1"/>
  <c r="E54" i="3"/>
  <c r="F54" i="3" s="1"/>
  <c r="D54" i="3"/>
  <c r="K53" i="3"/>
  <c r="J53" i="3"/>
  <c r="I53" i="3"/>
  <c r="G53" i="3"/>
  <c r="H53" i="3" s="1"/>
  <c r="E53" i="3"/>
  <c r="D53" i="3"/>
  <c r="F53" i="3" s="1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G49" i="3"/>
  <c r="H49" i="3" s="1"/>
  <c r="E49" i="3"/>
  <c r="F49" i="3" s="1"/>
  <c r="D49" i="3"/>
  <c r="K48" i="3"/>
  <c r="J48" i="3"/>
  <c r="I48" i="3"/>
  <c r="G48" i="3"/>
  <c r="H48" i="3" s="1"/>
  <c r="E48" i="3"/>
  <c r="F48" i="3" s="1"/>
  <c r="D48" i="3"/>
  <c r="K47" i="3"/>
  <c r="J47" i="3"/>
  <c r="I47" i="3"/>
  <c r="G47" i="3"/>
  <c r="H47" i="3" s="1"/>
  <c r="E47" i="3"/>
  <c r="F47" i="3" s="1"/>
  <c r="D47" i="3"/>
  <c r="K46" i="3"/>
  <c r="J46" i="3"/>
  <c r="I46" i="3"/>
  <c r="G46" i="3"/>
  <c r="H46" i="3" s="1"/>
  <c r="E46" i="3"/>
  <c r="D46" i="3"/>
  <c r="F46" i="3" s="1"/>
  <c r="K45" i="3"/>
  <c r="J45" i="3"/>
  <c r="I45" i="3"/>
  <c r="G45" i="3"/>
  <c r="E45" i="3"/>
  <c r="H45" i="3" s="1"/>
  <c r="D45" i="3"/>
  <c r="F45" i="3" s="1"/>
  <c r="K44" i="3"/>
  <c r="J44" i="3"/>
  <c r="I44" i="3"/>
  <c r="H44" i="3"/>
  <c r="G44" i="3"/>
  <c r="E44" i="3"/>
  <c r="D44" i="3"/>
  <c r="F44" i="3" s="1"/>
  <c r="K43" i="3"/>
  <c r="J43" i="3"/>
  <c r="I43" i="3"/>
  <c r="G43" i="3"/>
  <c r="E43" i="3"/>
  <c r="H43" i="3" s="1"/>
  <c r="D43" i="3"/>
  <c r="K42" i="3"/>
  <c r="J42" i="3"/>
  <c r="I42" i="3"/>
  <c r="H42" i="3"/>
  <c r="G42" i="3"/>
  <c r="E42" i="3"/>
  <c r="F42" i="3" s="1"/>
  <c r="D42" i="3"/>
  <c r="K41" i="3"/>
  <c r="J41" i="3"/>
  <c r="I41" i="3"/>
  <c r="G41" i="3"/>
  <c r="H41" i="3" s="1"/>
  <c r="E41" i="3"/>
  <c r="F41" i="3" s="1"/>
  <c r="D41" i="3"/>
  <c r="K40" i="3"/>
  <c r="J40" i="3"/>
  <c r="I40" i="3"/>
  <c r="G40" i="3"/>
  <c r="H40" i="3" s="1"/>
  <c r="E40" i="3"/>
  <c r="F40" i="3" s="1"/>
  <c r="D40" i="3"/>
  <c r="K39" i="3"/>
  <c r="J39" i="3"/>
  <c r="I39" i="3"/>
  <c r="G39" i="3"/>
  <c r="H39" i="3" s="1"/>
  <c r="E39" i="3"/>
  <c r="D39" i="3"/>
  <c r="F39" i="3" s="1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G35" i="3"/>
  <c r="H35" i="3" s="1"/>
  <c r="E35" i="3"/>
  <c r="F35" i="3" s="1"/>
  <c r="D35" i="3"/>
  <c r="K34" i="3"/>
  <c r="J34" i="3"/>
  <c r="I34" i="3"/>
  <c r="G34" i="3"/>
  <c r="H34" i="3" s="1"/>
  <c r="E34" i="3"/>
  <c r="F34" i="3" s="1"/>
  <c r="D34" i="3"/>
  <c r="K33" i="3"/>
  <c r="J33" i="3"/>
  <c r="I33" i="3"/>
  <c r="G33" i="3"/>
  <c r="H33" i="3" s="1"/>
  <c r="E33" i="3"/>
  <c r="F33" i="3" s="1"/>
  <c r="D33" i="3"/>
  <c r="K32" i="3"/>
  <c r="J32" i="3"/>
  <c r="I32" i="3"/>
  <c r="G32" i="3"/>
  <c r="H32" i="3" s="1"/>
  <c r="E32" i="3"/>
  <c r="D32" i="3"/>
  <c r="F32" i="3" s="1"/>
  <c r="K31" i="3"/>
  <c r="J31" i="3"/>
  <c r="I31" i="3"/>
  <c r="G31" i="3"/>
  <c r="E31" i="3"/>
  <c r="H31" i="3" s="1"/>
  <c r="D31" i="3"/>
  <c r="F31" i="3" s="1"/>
  <c r="K30" i="3"/>
  <c r="J30" i="3"/>
  <c r="I30" i="3"/>
  <c r="H30" i="3"/>
  <c r="G30" i="3"/>
  <c r="E30" i="3"/>
  <c r="D30" i="3"/>
  <c r="F30" i="3" s="1"/>
  <c r="K29" i="3"/>
  <c r="J29" i="3"/>
  <c r="I29" i="3"/>
  <c r="G29" i="3"/>
  <c r="E29" i="3"/>
  <c r="H29" i="3" s="1"/>
  <c r="D29" i="3"/>
  <c r="K28" i="3"/>
  <c r="J28" i="3"/>
  <c r="I28" i="3"/>
  <c r="H28" i="3"/>
  <c r="G28" i="3"/>
  <c r="E28" i="3"/>
  <c r="F28" i="3" s="1"/>
  <c r="D28" i="3"/>
  <c r="K27" i="3"/>
  <c r="J27" i="3"/>
  <c r="I27" i="3"/>
  <c r="G27" i="3"/>
  <c r="H27" i="3" s="1"/>
  <c r="E27" i="3"/>
  <c r="F27" i="3" s="1"/>
  <c r="D27" i="3"/>
  <c r="K26" i="3"/>
  <c r="J26" i="3"/>
  <c r="I26" i="3"/>
  <c r="G26" i="3"/>
  <c r="H26" i="3" s="1"/>
  <c r="E26" i="3"/>
  <c r="F26" i="3" s="1"/>
  <c r="D26" i="3"/>
  <c r="K25" i="3"/>
  <c r="J25" i="3"/>
  <c r="I25" i="3"/>
  <c r="G25" i="3"/>
  <c r="H25" i="3" s="1"/>
  <c r="E25" i="3"/>
  <c r="D25" i="3"/>
  <c r="F25" i="3" s="1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G21" i="3"/>
  <c r="H21" i="3" s="1"/>
  <c r="E21" i="3"/>
  <c r="F21" i="3" s="1"/>
  <c r="D21" i="3"/>
  <c r="K20" i="3"/>
  <c r="J20" i="3"/>
  <c r="I20" i="3"/>
  <c r="G20" i="3"/>
  <c r="H20" i="3" s="1"/>
  <c r="E20" i="3"/>
  <c r="F20" i="3" s="1"/>
  <c r="D20" i="3"/>
  <c r="K19" i="3"/>
  <c r="J19" i="3"/>
  <c r="I19" i="3"/>
  <c r="G19" i="3"/>
  <c r="H19" i="3" s="1"/>
  <c r="E19" i="3"/>
  <c r="F19" i="3" s="1"/>
  <c r="D19" i="3"/>
  <c r="K18" i="3"/>
  <c r="J18" i="3"/>
  <c r="I18" i="3"/>
  <c r="G18" i="3"/>
  <c r="H18" i="3" s="1"/>
  <c r="E18" i="3"/>
  <c r="D18" i="3"/>
  <c r="F18" i="3" s="1"/>
  <c r="K17" i="3"/>
  <c r="J17" i="3"/>
  <c r="I17" i="3"/>
  <c r="G17" i="3"/>
  <c r="E17" i="3"/>
  <c r="H17" i="3" s="1"/>
  <c r="D17" i="3"/>
  <c r="F17" i="3" s="1"/>
  <c r="K16" i="3"/>
  <c r="J16" i="3"/>
  <c r="I16" i="3"/>
  <c r="H16" i="3"/>
  <c r="G16" i="3"/>
  <c r="E16" i="3"/>
  <c r="D16" i="3"/>
  <c r="F16" i="3" s="1"/>
  <c r="K15" i="3"/>
  <c r="J15" i="3"/>
  <c r="I15" i="3"/>
  <c r="G15" i="3"/>
  <c r="E15" i="3"/>
  <c r="H15" i="3" s="1"/>
  <c r="D15" i="3"/>
  <c r="K14" i="3"/>
  <c r="J14" i="3"/>
  <c r="I14" i="3"/>
  <c r="H14" i="3"/>
  <c r="G14" i="3"/>
  <c r="E14" i="3"/>
  <c r="F14" i="3" s="1"/>
  <c r="D14" i="3"/>
  <c r="K13" i="3"/>
  <c r="J13" i="3"/>
  <c r="I13" i="3"/>
  <c r="G13" i="3"/>
  <c r="H13" i="3" s="1"/>
  <c r="E13" i="3"/>
  <c r="F13" i="3" s="1"/>
  <c r="D13" i="3"/>
  <c r="K12" i="3"/>
  <c r="J12" i="3"/>
  <c r="I12" i="3"/>
  <c r="G12" i="3"/>
  <c r="H12" i="3" s="1"/>
  <c r="E12" i="3"/>
  <c r="F12" i="3" s="1"/>
  <c r="D12" i="3"/>
  <c r="K11" i="3"/>
  <c r="J11" i="3"/>
  <c r="I11" i="3"/>
  <c r="G11" i="3"/>
  <c r="H11" i="3" s="1"/>
  <c r="E11" i="3"/>
  <c r="D11" i="3"/>
  <c r="F11" i="3" s="1"/>
  <c r="K10" i="3"/>
  <c r="J10" i="3"/>
  <c r="I10" i="3"/>
  <c r="H10" i="3"/>
  <c r="G10" i="3"/>
  <c r="F10" i="3"/>
  <c r="E10" i="3"/>
  <c r="D10" i="3"/>
  <c r="K9" i="3"/>
  <c r="J9" i="3"/>
  <c r="I9" i="3"/>
  <c r="H9" i="3"/>
  <c r="G9" i="3"/>
  <c r="F9" i="3"/>
  <c r="E9" i="3"/>
  <c r="D9" i="3"/>
  <c r="K8" i="3"/>
  <c r="J8" i="3"/>
  <c r="I8" i="3"/>
  <c r="H8" i="3"/>
  <c r="G8" i="3"/>
  <c r="F8" i="3"/>
  <c r="E8" i="3"/>
  <c r="D8" i="3"/>
  <c r="K7" i="3"/>
  <c r="J7" i="3"/>
  <c r="I7" i="3"/>
  <c r="G7" i="3"/>
  <c r="H7" i="3" s="1"/>
  <c r="E7" i="3"/>
  <c r="F7" i="3" s="1"/>
  <c r="D7" i="3"/>
  <c r="K6" i="3"/>
  <c r="J6" i="3"/>
  <c r="I6" i="3"/>
  <c r="G6" i="3"/>
  <c r="H6" i="3" s="1"/>
  <c r="E6" i="3"/>
  <c r="F6" i="3" s="1"/>
  <c r="D6" i="3"/>
  <c r="K5" i="3"/>
  <c r="J5" i="3"/>
  <c r="I5" i="3"/>
  <c r="G5" i="3"/>
  <c r="H5" i="3" s="1"/>
  <c r="E5" i="3"/>
  <c r="F5" i="3" s="1"/>
  <c r="D5" i="3"/>
  <c r="K4" i="3"/>
  <c r="J4" i="3"/>
  <c r="I4" i="3"/>
  <c r="G4" i="3"/>
  <c r="H4" i="3" s="1"/>
  <c r="E4" i="3"/>
  <c r="D4" i="3"/>
  <c r="F4" i="3" s="1"/>
  <c r="K3" i="3"/>
  <c r="J3" i="3"/>
  <c r="I3" i="3"/>
  <c r="G3" i="3"/>
  <c r="E3" i="3"/>
  <c r="H3" i="3" s="1"/>
  <c r="D3" i="3"/>
  <c r="F3" i="3" s="1"/>
  <c r="K2" i="3"/>
  <c r="J2" i="3"/>
  <c r="I2" i="3"/>
  <c r="H2" i="3"/>
  <c r="G2" i="3"/>
  <c r="E2" i="3"/>
  <c r="D2" i="3"/>
  <c r="F2" i="3" s="1"/>
  <c r="MS12" i="2"/>
  <c r="ME12" i="2"/>
  <c r="LQ12" i="2"/>
  <c r="LC12" i="2"/>
  <c r="HW12" i="2"/>
  <c r="HK12" i="2"/>
  <c r="GW12" i="2"/>
  <c r="GU12" i="2"/>
  <c r="GI12" i="2"/>
  <c r="GG12" i="2"/>
  <c r="FU12" i="2"/>
  <c r="EC12" i="2"/>
  <c r="DQ12" i="2"/>
  <c r="DC12" i="2"/>
  <c r="DA12" i="2"/>
  <c r="CO12" i="2"/>
  <c r="CM12" i="2"/>
  <c r="CA12" i="2"/>
  <c r="W12" i="2"/>
  <c r="I12" i="2"/>
  <c r="G12" i="2"/>
  <c r="NA11" i="2"/>
  <c r="NA12" i="2" s="1"/>
  <c r="MY11" i="2"/>
  <c r="MY12" i="2" s="1"/>
  <c r="MV11" i="2"/>
  <c r="MV12" i="2" s="1"/>
  <c r="MT11" i="2"/>
  <c r="MT12" i="2" s="1"/>
  <c r="MR11" i="2"/>
  <c r="MR12" i="2" s="1"/>
  <c r="MP11" i="2"/>
  <c r="MP12" i="2" s="1"/>
  <c r="MM11" i="2"/>
  <c r="MM12" i="2" s="1"/>
  <c r="MK11" i="2"/>
  <c r="MK12" i="2" s="1"/>
  <c r="MH11" i="2"/>
  <c r="MH12" i="2" s="1"/>
  <c r="MF11" i="2"/>
  <c r="MF12" i="2" s="1"/>
  <c r="MD11" i="2"/>
  <c r="MD12" i="2" s="1"/>
  <c r="MB11" i="2"/>
  <c r="MB12" i="2" s="1"/>
  <c r="LY11" i="2"/>
  <c r="LY12" i="2" s="1"/>
  <c r="LW11" i="2"/>
  <c r="LW12" i="2" s="1"/>
  <c r="LT11" i="2"/>
  <c r="LT12" i="2" s="1"/>
  <c r="LR11" i="2"/>
  <c r="LR12" i="2" s="1"/>
  <c r="LP11" i="2"/>
  <c r="LP12" i="2" s="1"/>
  <c r="L49" i="3" s="1"/>
  <c r="LN11" i="2"/>
  <c r="LN12" i="2" s="1"/>
  <c r="LK11" i="2"/>
  <c r="LK12" i="2" s="1"/>
  <c r="LI11" i="2"/>
  <c r="LI12" i="2" s="1"/>
  <c r="LF11" i="2"/>
  <c r="LF12" i="2" s="1"/>
  <c r="LD11" i="2"/>
  <c r="LD12" i="2" s="1"/>
  <c r="LB11" i="2"/>
  <c r="LB12" i="2" s="1"/>
  <c r="KZ11" i="2"/>
  <c r="KZ12" i="2" s="1"/>
  <c r="KW11" i="2"/>
  <c r="KW12" i="2" s="1"/>
  <c r="KU11" i="2"/>
  <c r="KU12" i="2" s="1"/>
  <c r="KR11" i="2"/>
  <c r="KR12" i="2" s="1"/>
  <c r="KP11" i="2"/>
  <c r="KP12" i="2" s="1"/>
  <c r="KN11" i="2"/>
  <c r="KN12" i="2" s="1"/>
  <c r="KL11" i="2"/>
  <c r="KL12" i="2" s="1"/>
  <c r="KI11" i="2"/>
  <c r="KI12" i="2" s="1"/>
  <c r="KG11" i="2"/>
  <c r="KG12" i="2" s="1"/>
  <c r="KD11" i="2"/>
  <c r="KD12" i="2" s="1"/>
  <c r="KB11" i="2"/>
  <c r="KB12" i="2" s="1"/>
  <c r="JZ11" i="2"/>
  <c r="JZ12" i="2" s="1"/>
  <c r="JX11" i="2"/>
  <c r="JX12" i="2" s="1"/>
  <c r="JU11" i="2"/>
  <c r="JU12" i="2" s="1"/>
  <c r="JS11" i="2"/>
  <c r="JS12" i="2" s="1"/>
  <c r="JP11" i="2"/>
  <c r="JP12" i="2" s="1"/>
  <c r="JN11" i="2"/>
  <c r="JN12" i="2" s="1"/>
  <c r="JL11" i="2"/>
  <c r="JL12" i="2" s="1"/>
  <c r="JJ11" i="2"/>
  <c r="JJ12" i="2" s="1"/>
  <c r="JG11" i="2"/>
  <c r="JG12" i="2" s="1"/>
  <c r="JE11" i="2"/>
  <c r="JE12" i="2" s="1"/>
  <c r="JB11" i="2"/>
  <c r="JB12" i="2" s="1"/>
  <c r="IZ11" i="2"/>
  <c r="IZ12" i="2" s="1"/>
  <c r="IX11" i="2"/>
  <c r="IX12" i="2" s="1"/>
  <c r="IV11" i="2"/>
  <c r="IV12" i="2" s="1"/>
  <c r="IS11" i="2"/>
  <c r="IS12" i="2" s="1"/>
  <c r="IQ11" i="2"/>
  <c r="IQ12" i="2" s="1"/>
  <c r="IN11" i="2"/>
  <c r="IN12" i="2" s="1"/>
  <c r="IL11" i="2"/>
  <c r="IL12" i="2" s="1"/>
  <c r="IJ11" i="2"/>
  <c r="IJ12" i="2" s="1"/>
  <c r="IH11" i="2"/>
  <c r="IH12" i="2" s="1"/>
  <c r="IE11" i="2"/>
  <c r="IE12" i="2" s="1"/>
  <c r="IC11" i="2"/>
  <c r="IC12" i="2" s="1"/>
  <c r="HZ11" i="2"/>
  <c r="HZ12" i="2" s="1"/>
  <c r="HX11" i="2"/>
  <c r="HX12" i="2" s="1"/>
  <c r="HV11" i="2"/>
  <c r="HV12" i="2" s="1"/>
  <c r="HT11" i="2"/>
  <c r="HT12" i="2" s="1"/>
  <c r="HQ11" i="2"/>
  <c r="HQ12" i="2" s="1"/>
  <c r="HO11" i="2"/>
  <c r="HO12" i="2" s="1"/>
  <c r="HL11" i="2"/>
  <c r="HL12" i="2" s="1"/>
  <c r="HJ11" i="2"/>
  <c r="HJ12" i="2" s="1"/>
  <c r="HH11" i="2"/>
  <c r="HH12" i="2" s="1"/>
  <c r="HF11" i="2"/>
  <c r="HF12" i="2" s="1"/>
  <c r="HC11" i="2"/>
  <c r="HC12" i="2" s="1"/>
  <c r="HA11" i="2"/>
  <c r="HA12" i="2" s="1"/>
  <c r="GX11" i="2"/>
  <c r="GX12" i="2" s="1"/>
  <c r="GV11" i="2"/>
  <c r="GV12" i="2" s="1"/>
  <c r="GT11" i="2"/>
  <c r="GT12" i="2" s="1"/>
  <c r="L31" i="3" s="1"/>
  <c r="GR11" i="2"/>
  <c r="GR12" i="2" s="1"/>
  <c r="GO11" i="2"/>
  <c r="GO12" i="2" s="1"/>
  <c r="GM11" i="2"/>
  <c r="GM12" i="2" s="1"/>
  <c r="GJ11" i="2"/>
  <c r="GJ12" i="2" s="1"/>
  <c r="GH11" i="2"/>
  <c r="GH12" i="2" s="1"/>
  <c r="GF11" i="2"/>
  <c r="GF12" i="2" s="1"/>
  <c r="GD11" i="2"/>
  <c r="GD12" i="2" s="1"/>
  <c r="GA11" i="2"/>
  <c r="GA12" i="2" s="1"/>
  <c r="FY11" i="2"/>
  <c r="FY12" i="2" s="1"/>
  <c r="FV11" i="2"/>
  <c r="FV12" i="2" s="1"/>
  <c r="FT11" i="2"/>
  <c r="FT12" i="2" s="1"/>
  <c r="FR11" i="2"/>
  <c r="FR12" i="2" s="1"/>
  <c r="FP11" i="2"/>
  <c r="FP12" i="2" s="1"/>
  <c r="FM11" i="2"/>
  <c r="FM12" i="2" s="1"/>
  <c r="FK11" i="2"/>
  <c r="FK12" i="2" s="1"/>
  <c r="FH11" i="2"/>
  <c r="FH12" i="2" s="1"/>
  <c r="FF11" i="2"/>
  <c r="FF12" i="2" s="1"/>
  <c r="FD11" i="2"/>
  <c r="FD12" i="2" s="1"/>
  <c r="FB11" i="2"/>
  <c r="FB12" i="2" s="1"/>
  <c r="EY11" i="2"/>
  <c r="EY12" i="2" s="1"/>
  <c r="EW11" i="2"/>
  <c r="EW12" i="2" s="1"/>
  <c r="ET11" i="2"/>
  <c r="ET12" i="2" s="1"/>
  <c r="ER11" i="2"/>
  <c r="ER12" i="2" s="1"/>
  <c r="EP11" i="2"/>
  <c r="EP12" i="2" s="1"/>
  <c r="EN11" i="2"/>
  <c r="EN12" i="2" s="1"/>
  <c r="EK11" i="2"/>
  <c r="EK12" i="2" s="1"/>
  <c r="EI11" i="2"/>
  <c r="EI12" i="2" s="1"/>
  <c r="EF11" i="2"/>
  <c r="EF12" i="2" s="1"/>
  <c r="ED11" i="2"/>
  <c r="ED12" i="2" s="1"/>
  <c r="EB11" i="2"/>
  <c r="EB12" i="2" s="1"/>
  <c r="DZ11" i="2"/>
  <c r="DZ12" i="2" s="1"/>
  <c r="DW11" i="2"/>
  <c r="DW12" i="2" s="1"/>
  <c r="DU11" i="2"/>
  <c r="DU12" i="2" s="1"/>
  <c r="DR11" i="2"/>
  <c r="DR12" i="2" s="1"/>
  <c r="DP11" i="2"/>
  <c r="DP12" i="2" s="1"/>
  <c r="DN11" i="2"/>
  <c r="DN12" i="2" s="1"/>
  <c r="DL11" i="2"/>
  <c r="DL12" i="2" s="1"/>
  <c r="DI11" i="2"/>
  <c r="DI12" i="2" s="1"/>
  <c r="DG11" i="2"/>
  <c r="DG12" i="2" s="1"/>
  <c r="DD11" i="2"/>
  <c r="DD12" i="2" s="1"/>
  <c r="DB11" i="2"/>
  <c r="DB12" i="2" s="1"/>
  <c r="CZ11" i="2"/>
  <c r="CZ12" i="2" s="1"/>
  <c r="L17" i="3" s="1"/>
  <c r="CX11" i="2"/>
  <c r="CX12" i="2" s="1"/>
  <c r="CU11" i="2"/>
  <c r="CU12" i="2" s="1"/>
  <c r="CS11" i="2"/>
  <c r="CS12" i="2" s="1"/>
  <c r="CP11" i="2"/>
  <c r="CP12" i="2" s="1"/>
  <c r="CN11" i="2"/>
  <c r="CN12" i="2" s="1"/>
  <c r="CL11" i="2"/>
  <c r="CL12" i="2" s="1"/>
  <c r="CJ11" i="2"/>
  <c r="CJ12" i="2" s="1"/>
  <c r="CG11" i="2"/>
  <c r="CG12" i="2" s="1"/>
  <c r="CE11" i="2"/>
  <c r="CE12" i="2" s="1"/>
  <c r="CB11" i="2"/>
  <c r="CB12" i="2" s="1"/>
  <c r="BZ11" i="2"/>
  <c r="BZ12" i="2" s="1"/>
  <c r="BX11" i="2"/>
  <c r="BX12" i="2" s="1"/>
  <c r="BV11" i="2"/>
  <c r="BV12" i="2" s="1"/>
  <c r="BS11" i="2"/>
  <c r="BS12" i="2" s="1"/>
  <c r="BQ11" i="2"/>
  <c r="BQ12" i="2" s="1"/>
  <c r="BN11" i="2"/>
  <c r="BN12" i="2" s="1"/>
  <c r="BL11" i="2"/>
  <c r="BL12" i="2" s="1"/>
  <c r="BJ11" i="2"/>
  <c r="BJ12" i="2" s="1"/>
  <c r="BH11" i="2"/>
  <c r="BH12" i="2" s="1"/>
  <c r="BE11" i="2"/>
  <c r="BE12" i="2" s="1"/>
  <c r="BC11" i="2"/>
  <c r="BC12" i="2" s="1"/>
  <c r="AZ11" i="2"/>
  <c r="AZ12" i="2" s="1"/>
  <c r="AX11" i="2"/>
  <c r="AX12" i="2" s="1"/>
  <c r="AV11" i="2"/>
  <c r="AV12" i="2" s="1"/>
  <c r="AT11" i="2"/>
  <c r="AT12" i="2" s="1"/>
  <c r="AQ11" i="2"/>
  <c r="AQ12" i="2" s="1"/>
  <c r="AO11" i="2"/>
  <c r="AO12" i="2" s="1"/>
  <c r="AL11" i="2"/>
  <c r="AL12" i="2" s="1"/>
  <c r="AJ11" i="2"/>
  <c r="AJ12" i="2" s="1"/>
  <c r="AH11" i="2"/>
  <c r="AH12" i="2" s="1"/>
  <c r="AF11" i="2"/>
  <c r="AF12" i="2" s="1"/>
  <c r="AC11" i="2"/>
  <c r="AC12" i="2" s="1"/>
  <c r="AA11" i="2"/>
  <c r="AA12" i="2" s="1"/>
  <c r="X11" i="2"/>
  <c r="X12" i="2" s="1"/>
  <c r="V11" i="2"/>
  <c r="V12" i="2" s="1"/>
  <c r="T11" i="2"/>
  <c r="T12" i="2" s="1"/>
  <c r="R11" i="2"/>
  <c r="R12" i="2" s="1"/>
  <c r="O11" i="2"/>
  <c r="O12" i="2" s="1"/>
  <c r="M11" i="2"/>
  <c r="M12" i="2" s="1"/>
  <c r="J11" i="2"/>
  <c r="J12" i="2" s="1"/>
  <c r="H11" i="2"/>
  <c r="H12" i="2" s="1"/>
  <c r="F11" i="2"/>
  <c r="F12" i="2" s="1"/>
  <c r="L3" i="3" s="1"/>
  <c r="D11" i="2"/>
  <c r="D12" i="2" s="1"/>
  <c r="NB9" i="2"/>
  <c r="NB11" i="2" s="1"/>
  <c r="NB12" i="2" s="1"/>
  <c r="NA9" i="2"/>
  <c r="MZ9" i="2"/>
  <c r="MZ11" i="2" s="1"/>
  <c r="MZ12" i="2" s="1"/>
  <c r="MY9" i="2"/>
  <c r="MX9" i="2"/>
  <c r="MX11" i="2" s="1"/>
  <c r="MX12" i="2" s="1"/>
  <c r="MW9" i="2"/>
  <c r="MW11" i="2" s="1"/>
  <c r="MW12" i="2" s="1"/>
  <c r="MV9" i="2"/>
  <c r="MU9" i="2"/>
  <c r="MU11" i="2" s="1"/>
  <c r="MU12" i="2" s="1"/>
  <c r="MT9" i="2"/>
  <c r="MS9" i="2"/>
  <c r="MS11" i="2" s="1"/>
  <c r="MR9" i="2"/>
  <c r="MQ9" i="2"/>
  <c r="MQ11" i="2" s="1"/>
  <c r="MQ12" i="2" s="1"/>
  <c r="MP9" i="2"/>
  <c r="MO9" i="2"/>
  <c r="MO11" i="2" s="1"/>
  <c r="MO12" i="2" s="1"/>
  <c r="MN9" i="2"/>
  <c r="MN11" i="2" s="1"/>
  <c r="MN12" i="2" s="1"/>
  <c r="MM9" i="2"/>
  <c r="ML9" i="2"/>
  <c r="ML11" i="2" s="1"/>
  <c r="ML12" i="2" s="1"/>
  <c r="MK9" i="2"/>
  <c r="MJ9" i="2"/>
  <c r="MJ11" i="2" s="1"/>
  <c r="MJ12" i="2" s="1"/>
  <c r="MI9" i="2"/>
  <c r="MI11" i="2" s="1"/>
  <c r="MI12" i="2" s="1"/>
  <c r="MH9" i="2"/>
  <c r="MG9" i="2"/>
  <c r="MG11" i="2" s="1"/>
  <c r="MG12" i="2" s="1"/>
  <c r="MF9" i="2"/>
  <c r="ME9" i="2"/>
  <c r="ME11" i="2" s="1"/>
  <c r="MD9" i="2"/>
  <c r="MC9" i="2"/>
  <c r="MC11" i="2" s="1"/>
  <c r="MC12" i="2" s="1"/>
  <c r="MB9" i="2"/>
  <c r="MA9" i="2"/>
  <c r="MA11" i="2" s="1"/>
  <c r="MA12" i="2" s="1"/>
  <c r="LZ9" i="2"/>
  <c r="LZ11" i="2" s="1"/>
  <c r="LZ12" i="2" s="1"/>
  <c r="LY9" i="2"/>
  <c r="LX9" i="2"/>
  <c r="LX11" i="2" s="1"/>
  <c r="LX12" i="2" s="1"/>
  <c r="LW9" i="2"/>
  <c r="LV9" i="2"/>
  <c r="LV11" i="2" s="1"/>
  <c r="LV12" i="2" s="1"/>
  <c r="LU9" i="2"/>
  <c r="LU11" i="2" s="1"/>
  <c r="LU12" i="2" s="1"/>
  <c r="LT9" i="2"/>
  <c r="LS9" i="2"/>
  <c r="LS11" i="2" s="1"/>
  <c r="LS12" i="2" s="1"/>
  <c r="LR9" i="2"/>
  <c r="LQ9" i="2"/>
  <c r="LQ11" i="2" s="1"/>
  <c r="LP9" i="2"/>
  <c r="LO9" i="2"/>
  <c r="LO11" i="2" s="1"/>
  <c r="LO12" i="2" s="1"/>
  <c r="LN9" i="2"/>
  <c r="LM9" i="2"/>
  <c r="LM11" i="2" s="1"/>
  <c r="LM12" i="2" s="1"/>
  <c r="LL9" i="2"/>
  <c r="LL11" i="2" s="1"/>
  <c r="LL12" i="2" s="1"/>
  <c r="LK9" i="2"/>
  <c r="LJ9" i="2"/>
  <c r="LJ11" i="2" s="1"/>
  <c r="LJ12" i="2" s="1"/>
  <c r="LI9" i="2"/>
  <c r="LH9" i="2"/>
  <c r="LH11" i="2" s="1"/>
  <c r="LH12" i="2" s="1"/>
  <c r="LG9" i="2"/>
  <c r="LG11" i="2" s="1"/>
  <c r="LG12" i="2" s="1"/>
  <c r="LF9" i="2"/>
  <c r="LE9" i="2"/>
  <c r="LE11" i="2" s="1"/>
  <c r="LE12" i="2" s="1"/>
  <c r="LD9" i="2"/>
  <c r="LC9" i="2"/>
  <c r="LC11" i="2" s="1"/>
  <c r="LB9" i="2"/>
  <c r="LA9" i="2"/>
  <c r="LA11" i="2" s="1"/>
  <c r="LA12" i="2" s="1"/>
  <c r="KZ9" i="2"/>
  <c r="KY9" i="2"/>
  <c r="KY11" i="2" s="1"/>
  <c r="KY12" i="2" s="1"/>
  <c r="KX9" i="2"/>
  <c r="KX11" i="2" s="1"/>
  <c r="KX12" i="2" s="1"/>
  <c r="KW9" i="2"/>
  <c r="KV9" i="2"/>
  <c r="KV11" i="2" s="1"/>
  <c r="KV12" i="2" s="1"/>
  <c r="KU9" i="2"/>
  <c r="KT9" i="2"/>
  <c r="KT11" i="2" s="1"/>
  <c r="KT12" i="2" s="1"/>
  <c r="KS9" i="2"/>
  <c r="KS11" i="2" s="1"/>
  <c r="KS12" i="2" s="1"/>
  <c r="KR9" i="2"/>
  <c r="KQ9" i="2"/>
  <c r="KQ11" i="2" s="1"/>
  <c r="KQ12" i="2" s="1"/>
  <c r="KP9" i="2"/>
  <c r="KO9" i="2"/>
  <c r="KO11" i="2" s="1"/>
  <c r="KO12" i="2" s="1"/>
  <c r="KN9" i="2"/>
  <c r="KM9" i="2"/>
  <c r="KM11" i="2" s="1"/>
  <c r="KM12" i="2" s="1"/>
  <c r="KL9" i="2"/>
  <c r="KK9" i="2"/>
  <c r="KK11" i="2" s="1"/>
  <c r="KK12" i="2" s="1"/>
  <c r="KJ9" i="2"/>
  <c r="KJ11" i="2" s="1"/>
  <c r="KJ12" i="2" s="1"/>
  <c r="KI9" i="2"/>
  <c r="KH9" i="2"/>
  <c r="KH11" i="2" s="1"/>
  <c r="KH12" i="2" s="1"/>
  <c r="KG9" i="2"/>
  <c r="KF9" i="2"/>
  <c r="KF11" i="2" s="1"/>
  <c r="KF12" i="2" s="1"/>
  <c r="KE9" i="2"/>
  <c r="KE11" i="2" s="1"/>
  <c r="KE12" i="2" s="1"/>
  <c r="KD9" i="2"/>
  <c r="KC9" i="2"/>
  <c r="KC11" i="2" s="1"/>
  <c r="KC12" i="2" s="1"/>
  <c r="KB9" i="2"/>
  <c r="KA9" i="2"/>
  <c r="KA11" i="2" s="1"/>
  <c r="KA12" i="2" s="1"/>
  <c r="JZ9" i="2"/>
  <c r="JY9" i="2"/>
  <c r="JY11" i="2" s="1"/>
  <c r="JY12" i="2" s="1"/>
  <c r="JX9" i="2"/>
  <c r="JW9" i="2"/>
  <c r="JW11" i="2" s="1"/>
  <c r="JW12" i="2" s="1"/>
  <c r="JV9" i="2"/>
  <c r="JV11" i="2" s="1"/>
  <c r="JV12" i="2" s="1"/>
  <c r="JU9" i="2"/>
  <c r="JT9" i="2"/>
  <c r="JT11" i="2" s="1"/>
  <c r="JT12" i="2" s="1"/>
  <c r="JS9" i="2"/>
  <c r="JR9" i="2"/>
  <c r="JR11" i="2" s="1"/>
  <c r="JR12" i="2" s="1"/>
  <c r="JQ9" i="2"/>
  <c r="JQ11" i="2" s="1"/>
  <c r="JQ12" i="2" s="1"/>
  <c r="JP9" i="2"/>
  <c r="JO9" i="2"/>
  <c r="JO11" i="2" s="1"/>
  <c r="JO12" i="2" s="1"/>
  <c r="JN9" i="2"/>
  <c r="JM9" i="2"/>
  <c r="JM11" i="2" s="1"/>
  <c r="JM12" i="2" s="1"/>
  <c r="JL9" i="2"/>
  <c r="JK9" i="2"/>
  <c r="JK11" i="2" s="1"/>
  <c r="JK12" i="2" s="1"/>
  <c r="JJ9" i="2"/>
  <c r="JI9" i="2"/>
  <c r="JI11" i="2" s="1"/>
  <c r="JI12" i="2" s="1"/>
  <c r="JH9" i="2"/>
  <c r="JH11" i="2" s="1"/>
  <c r="JH12" i="2" s="1"/>
  <c r="JG9" i="2"/>
  <c r="JF9" i="2"/>
  <c r="JF11" i="2" s="1"/>
  <c r="JF12" i="2" s="1"/>
  <c r="JE9" i="2"/>
  <c r="JD9" i="2"/>
  <c r="JD11" i="2" s="1"/>
  <c r="JD12" i="2" s="1"/>
  <c r="JC9" i="2"/>
  <c r="JC11" i="2" s="1"/>
  <c r="JC12" i="2" s="1"/>
  <c r="JB9" i="2"/>
  <c r="JA9" i="2"/>
  <c r="JA11" i="2" s="1"/>
  <c r="JA12" i="2" s="1"/>
  <c r="IZ9" i="2"/>
  <c r="IY9" i="2"/>
  <c r="IY11" i="2" s="1"/>
  <c r="IY12" i="2" s="1"/>
  <c r="IX9" i="2"/>
  <c r="IW9" i="2"/>
  <c r="IW11" i="2" s="1"/>
  <c r="IW12" i="2" s="1"/>
  <c r="IV9" i="2"/>
  <c r="IU9" i="2"/>
  <c r="IU11" i="2" s="1"/>
  <c r="IU12" i="2" s="1"/>
  <c r="IT9" i="2"/>
  <c r="IT11" i="2" s="1"/>
  <c r="IT12" i="2" s="1"/>
  <c r="IS9" i="2"/>
  <c r="IR9" i="2"/>
  <c r="IR11" i="2" s="1"/>
  <c r="IR12" i="2" s="1"/>
  <c r="IQ9" i="2"/>
  <c r="IP9" i="2"/>
  <c r="IP11" i="2" s="1"/>
  <c r="IP12" i="2" s="1"/>
  <c r="IO9" i="2"/>
  <c r="IO11" i="2" s="1"/>
  <c r="IO12" i="2" s="1"/>
  <c r="IN9" i="2"/>
  <c r="IM9" i="2"/>
  <c r="IM11" i="2" s="1"/>
  <c r="IM12" i="2" s="1"/>
  <c r="IL9" i="2"/>
  <c r="IK9" i="2"/>
  <c r="IK11" i="2" s="1"/>
  <c r="IK12" i="2" s="1"/>
  <c r="L10" i="4" s="1"/>
  <c r="IJ9" i="2"/>
  <c r="II9" i="2"/>
  <c r="II11" i="2" s="1"/>
  <c r="II12" i="2" s="1"/>
  <c r="IH9" i="2"/>
  <c r="IG9" i="2"/>
  <c r="IG11" i="2" s="1"/>
  <c r="IG12" i="2" s="1"/>
  <c r="IF9" i="2"/>
  <c r="IF11" i="2" s="1"/>
  <c r="IF12" i="2" s="1"/>
  <c r="IE9" i="2"/>
  <c r="ID9" i="2"/>
  <c r="ID11" i="2" s="1"/>
  <c r="ID12" i="2" s="1"/>
  <c r="IC9" i="2"/>
  <c r="IB9" i="2"/>
  <c r="IB11" i="2" s="1"/>
  <c r="IB12" i="2" s="1"/>
  <c r="IA9" i="2"/>
  <c r="IA11" i="2" s="1"/>
  <c r="IA12" i="2" s="1"/>
  <c r="HZ9" i="2"/>
  <c r="HY9" i="2"/>
  <c r="HY11" i="2" s="1"/>
  <c r="HY12" i="2" s="1"/>
  <c r="HX9" i="2"/>
  <c r="HW9" i="2"/>
  <c r="HW11" i="2" s="1"/>
  <c r="HV9" i="2"/>
  <c r="HU9" i="2"/>
  <c r="HU11" i="2" s="1"/>
  <c r="HU12" i="2" s="1"/>
  <c r="HT9" i="2"/>
  <c r="HS9" i="2"/>
  <c r="HS11" i="2" s="1"/>
  <c r="HS12" i="2" s="1"/>
  <c r="HR9" i="2"/>
  <c r="HR11" i="2" s="1"/>
  <c r="HR12" i="2" s="1"/>
  <c r="HQ9" i="2"/>
  <c r="HP9" i="2"/>
  <c r="HP11" i="2" s="1"/>
  <c r="HP12" i="2" s="1"/>
  <c r="HO9" i="2"/>
  <c r="HN9" i="2"/>
  <c r="HN11" i="2" s="1"/>
  <c r="HN12" i="2" s="1"/>
  <c r="HM9" i="2"/>
  <c r="HM11" i="2" s="1"/>
  <c r="HM12" i="2" s="1"/>
  <c r="HL9" i="2"/>
  <c r="HK9" i="2"/>
  <c r="HK11" i="2" s="1"/>
  <c r="HJ9" i="2"/>
  <c r="HI9" i="2"/>
  <c r="HI11" i="2" s="1"/>
  <c r="HI12" i="2" s="1"/>
  <c r="HH9" i="2"/>
  <c r="HG9" i="2"/>
  <c r="HG11" i="2" s="1"/>
  <c r="HG12" i="2" s="1"/>
  <c r="HF9" i="2"/>
  <c r="HE9" i="2"/>
  <c r="HE11" i="2" s="1"/>
  <c r="HE12" i="2" s="1"/>
  <c r="HD9" i="2"/>
  <c r="HD11" i="2" s="1"/>
  <c r="HD12" i="2" s="1"/>
  <c r="HC9" i="2"/>
  <c r="HB9" i="2"/>
  <c r="HB11" i="2" s="1"/>
  <c r="HB12" i="2" s="1"/>
  <c r="HA9" i="2"/>
  <c r="GZ9" i="2"/>
  <c r="GZ11" i="2" s="1"/>
  <c r="GZ12" i="2" s="1"/>
  <c r="GY9" i="2"/>
  <c r="GY11" i="2" s="1"/>
  <c r="GY12" i="2" s="1"/>
  <c r="GX9" i="2"/>
  <c r="GW9" i="2"/>
  <c r="GW11" i="2" s="1"/>
  <c r="GV9" i="2"/>
  <c r="GU9" i="2"/>
  <c r="GU11" i="2" s="1"/>
  <c r="GT9" i="2"/>
  <c r="GS9" i="2"/>
  <c r="GS11" i="2" s="1"/>
  <c r="GS12" i="2" s="1"/>
  <c r="GR9" i="2"/>
  <c r="GQ9" i="2"/>
  <c r="GQ11" i="2" s="1"/>
  <c r="GQ12" i="2" s="1"/>
  <c r="GP9" i="2"/>
  <c r="GP11" i="2" s="1"/>
  <c r="GP12" i="2" s="1"/>
  <c r="GO9" i="2"/>
  <c r="GN9" i="2"/>
  <c r="GN11" i="2" s="1"/>
  <c r="GN12" i="2" s="1"/>
  <c r="GM9" i="2"/>
  <c r="GL9" i="2"/>
  <c r="GL11" i="2" s="1"/>
  <c r="GL12" i="2" s="1"/>
  <c r="GK9" i="2"/>
  <c r="GK11" i="2" s="1"/>
  <c r="GK12" i="2" s="1"/>
  <c r="GJ9" i="2"/>
  <c r="GI9" i="2"/>
  <c r="GI11" i="2" s="1"/>
  <c r="GH9" i="2"/>
  <c r="GG9" i="2"/>
  <c r="GG11" i="2" s="1"/>
  <c r="GF9" i="2"/>
  <c r="GE9" i="2"/>
  <c r="GE11" i="2" s="1"/>
  <c r="GE12" i="2" s="1"/>
  <c r="GD9" i="2"/>
  <c r="GC9" i="2"/>
  <c r="GC11" i="2" s="1"/>
  <c r="GC12" i="2" s="1"/>
  <c r="GB9" i="2"/>
  <c r="GB11" i="2" s="1"/>
  <c r="GB12" i="2" s="1"/>
  <c r="GA9" i="2"/>
  <c r="FZ9" i="2"/>
  <c r="FZ11" i="2" s="1"/>
  <c r="FZ12" i="2" s="1"/>
  <c r="FY9" i="2"/>
  <c r="FX9" i="2"/>
  <c r="FX11" i="2" s="1"/>
  <c r="FX12" i="2" s="1"/>
  <c r="FW9" i="2"/>
  <c r="FW11" i="2" s="1"/>
  <c r="FW12" i="2" s="1"/>
  <c r="FV9" i="2"/>
  <c r="FU9" i="2"/>
  <c r="FU11" i="2" s="1"/>
  <c r="FT9" i="2"/>
  <c r="FS9" i="2"/>
  <c r="FS11" i="2" s="1"/>
  <c r="FS12" i="2" s="1"/>
  <c r="FR9" i="2"/>
  <c r="FQ9" i="2"/>
  <c r="FQ11" i="2" s="1"/>
  <c r="FQ12" i="2" s="1"/>
  <c r="FP9" i="2"/>
  <c r="FO9" i="2"/>
  <c r="FO11" i="2" s="1"/>
  <c r="FO12" i="2" s="1"/>
  <c r="FN9" i="2"/>
  <c r="FN11" i="2" s="1"/>
  <c r="FN12" i="2" s="1"/>
  <c r="FM9" i="2"/>
  <c r="FL9" i="2"/>
  <c r="FL11" i="2" s="1"/>
  <c r="FL12" i="2" s="1"/>
  <c r="FK9" i="2"/>
  <c r="FJ9" i="2"/>
  <c r="FJ11" i="2" s="1"/>
  <c r="FJ12" i="2" s="1"/>
  <c r="FI9" i="2"/>
  <c r="FI11" i="2" s="1"/>
  <c r="FI12" i="2" s="1"/>
  <c r="FH9" i="2"/>
  <c r="FG9" i="2"/>
  <c r="FG11" i="2" s="1"/>
  <c r="FG12" i="2" s="1"/>
  <c r="FF9" i="2"/>
  <c r="FE9" i="2"/>
  <c r="FE11" i="2" s="1"/>
  <c r="FE12" i="2" s="1"/>
  <c r="FD9" i="2"/>
  <c r="FC9" i="2"/>
  <c r="FC11" i="2" s="1"/>
  <c r="FC12" i="2" s="1"/>
  <c r="FB9" i="2"/>
  <c r="FA9" i="2"/>
  <c r="FA11" i="2" s="1"/>
  <c r="FA12" i="2" s="1"/>
  <c r="EZ9" i="2"/>
  <c r="EZ11" i="2" s="1"/>
  <c r="EZ12" i="2" s="1"/>
  <c r="EY9" i="2"/>
  <c r="EX9" i="2"/>
  <c r="EX11" i="2" s="1"/>
  <c r="EX12" i="2" s="1"/>
  <c r="EW9" i="2"/>
  <c r="EV9" i="2"/>
  <c r="EV11" i="2" s="1"/>
  <c r="EV12" i="2" s="1"/>
  <c r="EU9" i="2"/>
  <c r="EU11" i="2" s="1"/>
  <c r="EU12" i="2" s="1"/>
  <c r="ET9" i="2"/>
  <c r="ES9" i="2"/>
  <c r="ES11" i="2" s="1"/>
  <c r="ES12" i="2" s="1"/>
  <c r="ER9" i="2"/>
  <c r="EQ9" i="2"/>
  <c r="EQ11" i="2" s="1"/>
  <c r="EQ12" i="2" s="1"/>
  <c r="EP9" i="2"/>
  <c r="EO9" i="2"/>
  <c r="EO11" i="2" s="1"/>
  <c r="EO12" i="2" s="1"/>
  <c r="EN9" i="2"/>
  <c r="EM9" i="2"/>
  <c r="EM11" i="2" s="1"/>
  <c r="EM12" i="2" s="1"/>
  <c r="EL9" i="2"/>
  <c r="EL11" i="2" s="1"/>
  <c r="EL12" i="2" s="1"/>
  <c r="EK9" i="2"/>
  <c r="EJ9" i="2"/>
  <c r="EJ11" i="2" s="1"/>
  <c r="EJ12" i="2" s="1"/>
  <c r="EI9" i="2"/>
  <c r="EH9" i="2"/>
  <c r="EH11" i="2" s="1"/>
  <c r="EH12" i="2" s="1"/>
  <c r="EG9" i="2"/>
  <c r="EG11" i="2" s="1"/>
  <c r="EG12" i="2" s="1"/>
  <c r="EF9" i="2"/>
  <c r="EE9" i="2"/>
  <c r="EE11" i="2" s="1"/>
  <c r="EE12" i="2" s="1"/>
  <c r="ED9" i="2"/>
  <c r="EC9" i="2"/>
  <c r="EC11" i="2" s="1"/>
  <c r="EB9" i="2"/>
  <c r="EA9" i="2"/>
  <c r="EA11" i="2" s="1"/>
  <c r="EA12" i="2" s="1"/>
  <c r="DZ9" i="2"/>
  <c r="DY9" i="2"/>
  <c r="DY11" i="2" s="1"/>
  <c r="DY12" i="2" s="1"/>
  <c r="DX9" i="2"/>
  <c r="DX11" i="2" s="1"/>
  <c r="DX12" i="2" s="1"/>
  <c r="DW9" i="2"/>
  <c r="DV9" i="2"/>
  <c r="DV11" i="2" s="1"/>
  <c r="DV12" i="2" s="1"/>
  <c r="DU9" i="2"/>
  <c r="DT9" i="2"/>
  <c r="DT11" i="2" s="1"/>
  <c r="DT12" i="2" s="1"/>
  <c r="DS9" i="2"/>
  <c r="DS11" i="2" s="1"/>
  <c r="DS12" i="2" s="1"/>
  <c r="DR9" i="2"/>
  <c r="DQ9" i="2"/>
  <c r="DQ11" i="2" s="1"/>
  <c r="DP9" i="2"/>
  <c r="DO9" i="2"/>
  <c r="DO11" i="2" s="1"/>
  <c r="DO12" i="2" s="1"/>
  <c r="DN9" i="2"/>
  <c r="DM9" i="2"/>
  <c r="DM11" i="2" s="1"/>
  <c r="DM12" i="2" s="1"/>
  <c r="DL9" i="2"/>
  <c r="DK9" i="2"/>
  <c r="DK11" i="2" s="1"/>
  <c r="DK12" i="2" s="1"/>
  <c r="DJ9" i="2"/>
  <c r="DJ11" i="2" s="1"/>
  <c r="DJ12" i="2" s="1"/>
  <c r="DI9" i="2"/>
  <c r="DH9" i="2"/>
  <c r="DH11" i="2" s="1"/>
  <c r="DH12" i="2" s="1"/>
  <c r="DG9" i="2"/>
  <c r="DF9" i="2"/>
  <c r="DF11" i="2" s="1"/>
  <c r="DF12" i="2" s="1"/>
  <c r="DE9" i="2"/>
  <c r="DE11" i="2" s="1"/>
  <c r="DE12" i="2" s="1"/>
  <c r="DD9" i="2"/>
  <c r="DC9" i="2"/>
  <c r="DC11" i="2" s="1"/>
  <c r="DB9" i="2"/>
  <c r="DA9" i="2"/>
  <c r="DA11" i="2" s="1"/>
  <c r="CZ9" i="2"/>
  <c r="CY9" i="2"/>
  <c r="CY11" i="2" s="1"/>
  <c r="CY12" i="2" s="1"/>
  <c r="CX9" i="2"/>
  <c r="CW9" i="2"/>
  <c r="CW11" i="2" s="1"/>
  <c r="CW12" i="2" s="1"/>
  <c r="CV9" i="2"/>
  <c r="CV11" i="2" s="1"/>
  <c r="CV12" i="2" s="1"/>
  <c r="CU9" i="2"/>
  <c r="CT9" i="2"/>
  <c r="CT11" i="2" s="1"/>
  <c r="CT12" i="2" s="1"/>
  <c r="CS9" i="2"/>
  <c r="CR9" i="2"/>
  <c r="CR11" i="2" s="1"/>
  <c r="CR12" i="2" s="1"/>
  <c r="CQ9" i="2"/>
  <c r="CQ11" i="2" s="1"/>
  <c r="CQ12" i="2" s="1"/>
  <c r="CP9" i="2"/>
  <c r="CO9" i="2"/>
  <c r="CO11" i="2" s="1"/>
  <c r="CN9" i="2"/>
  <c r="CM9" i="2"/>
  <c r="CM11" i="2" s="1"/>
  <c r="CL9" i="2"/>
  <c r="CK9" i="2"/>
  <c r="CK11" i="2" s="1"/>
  <c r="CK12" i="2" s="1"/>
  <c r="CJ9" i="2"/>
  <c r="CI9" i="2"/>
  <c r="CI11" i="2" s="1"/>
  <c r="CI12" i="2" s="1"/>
  <c r="CH9" i="2"/>
  <c r="CH11" i="2" s="1"/>
  <c r="CH12" i="2" s="1"/>
  <c r="CG9" i="2"/>
  <c r="CF9" i="2"/>
  <c r="CF11" i="2" s="1"/>
  <c r="CF12" i="2" s="1"/>
  <c r="CE9" i="2"/>
  <c r="CD9" i="2"/>
  <c r="CD11" i="2" s="1"/>
  <c r="CD12" i="2" s="1"/>
  <c r="CC9" i="2"/>
  <c r="CC11" i="2" s="1"/>
  <c r="CC12" i="2" s="1"/>
  <c r="CB9" i="2"/>
  <c r="CA9" i="2"/>
  <c r="CA11" i="2" s="1"/>
  <c r="BZ9" i="2"/>
  <c r="BY9" i="2"/>
  <c r="BY11" i="2" s="1"/>
  <c r="BY12" i="2" s="1"/>
  <c r="BX9" i="2"/>
  <c r="BW9" i="2"/>
  <c r="BW11" i="2" s="1"/>
  <c r="BW12" i="2" s="1"/>
  <c r="BV9" i="2"/>
  <c r="BU9" i="2"/>
  <c r="BU11" i="2" s="1"/>
  <c r="BU12" i="2" s="1"/>
  <c r="BT9" i="2"/>
  <c r="BT11" i="2" s="1"/>
  <c r="BT12" i="2" s="1"/>
  <c r="BS9" i="2"/>
  <c r="BR9" i="2"/>
  <c r="BR11" i="2" s="1"/>
  <c r="BR12" i="2" s="1"/>
  <c r="BQ9" i="2"/>
  <c r="BP9" i="2"/>
  <c r="BP11" i="2" s="1"/>
  <c r="BP12" i="2" s="1"/>
  <c r="BO9" i="2"/>
  <c r="BO11" i="2" s="1"/>
  <c r="BO12" i="2" s="1"/>
  <c r="BN9" i="2"/>
  <c r="BM9" i="2"/>
  <c r="BM11" i="2" s="1"/>
  <c r="BM12" i="2" s="1"/>
  <c r="BL9" i="2"/>
  <c r="BK9" i="2"/>
  <c r="BK11" i="2" s="1"/>
  <c r="BK12" i="2" s="1"/>
  <c r="BJ9" i="2"/>
  <c r="BI9" i="2"/>
  <c r="BI11" i="2" s="1"/>
  <c r="BI12" i="2" s="1"/>
  <c r="BH9" i="2"/>
  <c r="BG9" i="2"/>
  <c r="BG11" i="2" s="1"/>
  <c r="BG12" i="2" s="1"/>
  <c r="BF9" i="2"/>
  <c r="BF11" i="2" s="1"/>
  <c r="BF12" i="2" s="1"/>
  <c r="BE9" i="2"/>
  <c r="BD9" i="2"/>
  <c r="BD11" i="2" s="1"/>
  <c r="BD12" i="2" s="1"/>
  <c r="BC9" i="2"/>
  <c r="BB9" i="2"/>
  <c r="BB11" i="2" s="1"/>
  <c r="BB12" i="2" s="1"/>
  <c r="BA9" i="2"/>
  <c r="BA11" i="2" s="1"/>
  <c r="BA12" i="2" s="1"/>
  <c r="AZ9" i="2"/>
  <c r="AY9" i="2"/>
  <c r="AY11" i="2" s="1"/>
  <c r="AY12" i="2" s="1"/>
  <c r="AX9" i="2"/>
  <c r="AW9" i="2"/>
  <c r="AW11" i="2" s="1"/>
  <c r="AW12" i="2" s="1"/>
  <c r="AV9" i="2"/>
  <c r="AU9" i="2"/>
  <c r="AU11" i="2" s="1"/>
  <c r="AU12" i="2" s="1"/>
  <c r="AT9" i="2"/>
  <c r="AS9" i="2"/>
  <c r="AS11" i="2" s="1"/>
  <c r="AS12" i="2" s="1"/>
  <c r="AR9" i="2"/>
  <c r="AR11" i="2" s="1"/>
  <c r="AR12" i="2" s="1"/>
  <c r="AQ9" i="2"/>
  <c r="AP9" i="2"/>
  <c r="AP11" i="2" s="1"/>
  <c r="AP12" i="2" s="1"/>
  <c r="AO9" i="2"/>
  <c r="AN9" i="2"/>
  <c r="AN11" i="2" s="1"/>
  <c r="AN12" i="2" s="1"/>
  <c r="AM9" i="2"/>
  <c r="AM11" i="2" s="1"/>
  <c r="AM12" i="2" s="1"/>
  <c r="AL9" i="2"/>
  <c r="AK9" i="2"/>
  <c r="AK11" i="2" s="1"/>
  <c r="AK12" i="2" s="1"/>
  <c r="AJ9" i="2"/>
  <c r="AI9" i="2"/>
  <c r="AI11" i="2" s="1"/>
  <c r="AI12" i="2" s="1"/>
  <c r="AH9" i="2"/>
  <c r="AG9" i="2"/>
  <c r="AG11" i="2" s="1"/>
  <c r="AG12" i="2" s="1"/>
  <c r="AF9" i="2"/>
  <c r="AE9" i="2"/>
  <c r="AE11" i="2" s="1"/>
  <c r="AE12" i="2" s="1"/>
  <c r="AD9" i="2"/>
  <c r="AD11" i="2" s="1"/>
  <c r="AD12" i="2" s="1"/>
  <c r="AC9" i="2"/>
  <c r="AB9" i="2"/>
  <c r="AB11" i="2" s="1"/>
  <c r="AB12" i="2" s="1"/>
  <c r="AA9" i="2"/>
  <c r="Z9" i="2"/>
  <c r="Z11" i="2" s="1"/>
  <c r="Z12" i="2" s="1"/>
  <c r="Y9" i="2"/>
  <c r="Y11" i="2" s="1"/>
  <c r="Y12" i="2" s="1"/>
  <c r="X9" i="2"/>
  <c r="W9" i="2"/>
  <c r="W11" i="2" s="1"/>
  <c r="V9" i="2"/>
  <c r="U9" i="2"/>
  <c r="U11" i="2" s="1"/>
  <c r="U12" i="2" s="1"/>
  <c r="T9" i="2"/>
  <c r="S9" i="2"/>
  <c r="S11" i="2" s="1"/>
  <c r="S12" i="2" s="1"/>
  <c r="R9" i="2"/>
  <c r="Q9" i="2"/>
  <c r="Q11" i="2" s="1"/>
  <c r="Q12" i="2" s="1"/>
  <c r="P9" i="2"/>
  <c r="P11" i="2" s="1"/>
  <c r="P12" i="2" s="1"/>
  <c r="O9" i="2"/>
  <c r="N9" i="2"/>
  <c r="N11" i="2" s="1"/>
  <c r="N12" i="2" s="1"/>
  <c r="M9" i="2"/>
  <c r="L9" i="2"/>
  <c r="L11" i="2" s="1"/>
  <c r="L12" i="2" s="1"/>
  <c r="K9" i="2"/>
  <c r="K11" i="2" s="1"/>
  <c r="K12" i="2" s="1"/>
  <c r="J9" i="2"/>
  <c r="I9" i="2"/>
  <c r="I11" i="2" s="1"/>
  <c r="H9" i="2"/>
  <c r="G9" i="2"/>
  <c r="G11" i="2" s="1"/>
  <c r="F9" i="2"/>
  <c r="E9" i="2"/>
  <c r="E11" i="2" s="1"/>
  <c r="E12" i="2" s="1"/>
  <c r="D9" i="2"/>
  <c r="C9" i="2"/>
  <c r="C11" i="2" s="1"/>
  <c r="C12" i="2" s="1"/>
  <c r="B9" i="2"/>
  <c r="B11" i="2" s="1"/>
  <c r="B12" i="2" s="1"/>
  <c r="NB7" i="2"/>
  <c r="NA7" i="2"/>
  <c r="MZ7" i="2"/>
  <c r="MY7" i="2"/>
  <c r="MX7" i="2"/>
  <c r="MW7" i="2"/>
  <c r="MV7" i="2"/>
  <c r="MU7" i="2"/>
  <c r="MT7" i="2"/>
  <c r="MS7" i="2"/>
  <c r="MR7" i="2"/>
  <c r="MQ7" i="2"/>
  <c r="MP7" i="2"/>
  <c r="MO7" i="2"/>
  <c r="MN7" i="2"/>
  <c r="MM7" i="2"/>
  <c r="ML7" i="2"/>
  <c r="MK7" i="2"/>
  <c r="MJ7" i="2"/>
  <c r="MI7" i="2"/>
  <c r="MH7" i="2"/>
  <c r="MG7" i="2"/>
  <c r="MF7" i="2"/>
  <c r="ME7" i="2"/>
  <c r="MD7" i="2"/>
  <c r="MC7" i="2"/>
  <c r="MB7" i="2"/>
  <c r="MA7" i="2"/>
  <c r="LZ7" i="2"/>
  <c r="LY7" i="2"/>
  <c r="LX7" i="2"/>
  <c r="LW7" i="2"/>
  <c r="LV7" i="2"/>
  <c r="LU7" i="2"/>
  <c r="LT7" i="2"/>
  <c r="LS7" i="2"/>
  <c r="LR7" i="2"/>
  <c r="LQ7" i="2"/>
  <c r="LP7" i="2"/>
  <c r="LO7" i="2"/>
  <c r="LN7" i="2"/>
  <c r="LM7" i="2"/>
  <c r="LL7" i="2"/>
  <c r="LK7" i="2"/>
  <c r="LJ7" i="2"/>
  <c r="LI7" i="2"/>
  <c r="LH7" i="2"/>
  <c r="LG7" i="2"/>
  <c r="LF7" i="2"/>
  <c r="LE7" i="2"/>
  <c r="LD7" i="2"/>
  <c r="LC7" i="2"/>
  <c r="LB7" i="2"/>
  <c r="LA7" i="2"/>
  <c r="KZ7" i="2"/>
  <c r="KY7" i="2"/>
  <c r="KX7" i="2"/>
  <c r="KW7" i="2"/>
  <c r="KV7" i="2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NB3" i="2"/>
  <c r="NA3" i="2"/>
  <c r="MZ3" i="2"/>
  <c r="MY3" i="2"/>
  <c r="MX3" i="2"/>
  <c r="MW3" i="2"/>
  <c r="MV3" i="2"/>
  <c r="MU3" i="2"/>
  <c r="MT3" i="2"/>
  <c r="MS3" i="2"/>
  <c r="MR3" i="2"/>
  <c r="MQ3" i="2"/>
  <c r="MP3" i="2"/>
  <c r="MO3" i="2"/>
  <c r="MN3" i="2"/>
  <c r="MM3" i="2"/>
  <c r="ML3" i="2"/>
  <c r="MK3" i="2"/>
  <c r="MJ3" i="2"/>
  <c r="MI3" i="2"/>
  <c r="MH3" i="2"/>
  <c r="MG3" i="2"/>
  <c r="MF3" i="2"/>
  <c r="ME3" i="2"/>
  <c r="MD3" i="2"/>
  <c r="MC3" i="2"/>
  <c r="MB3" i="2"/>
  <c r="MA3" i="2"/>
  <c r="LZ3" i="2"/>
  <c r="LY3" i="2"/>
  <c r="LX3" i="2"/>
  <c r="LW3" i="2"/>
  <c r="LV3" i="2"/>
  <c r="LU3" i="2"/>
  <c r="LT3" i="2"/>
  <c r="LS3" i="2"/>
  <c r="LR3" i="2"/>
  <c r="LQ3" i="2"/>
  <c r="LP3" i="2"/>
  <c r="LO3" i="2"/>
  <c r="LN3" i="2"/>
  <c r="LM3" i="2"/>
  <c r="LL3" i="2"/>
  <c r="LK3" i="2"/>
  <c r="LJ3" i="2"/>
  <c r="LI3" i="2"/>
  <c r="LH3" i="2"/>
  <c r="LG3" i="2"/>
  <c r="LF3" i="2"/>
  <c r="LE3" i="2"/>
  <c r="LD3" i="2"/>
  <c r="LC3" i="2"/>
  <c r="LB3" i="2"/>
  <c r="LA3" i="2"/>
  <c r="KZ3" i="2"/>
  <c r="KY3" i="2"/>
  <c r="KX3" i="2"/>
  <c r="KW3" i="2"/>
  <c r="KV3" i="2"/>
  <c r="KU3" i="2"/>
  <c r="KT3" i="2"/>
  <c r="KS3" i="2"/>
  <c r="KR3" i="2"/>
  <c r="KQ3" i="2"/>
  <c r="KP3" i="2"/>
  <c r="KO3" i="2"/>
  <c r="KN3" i="2"/>
  <c r="KM3" i="2"/>
  <c r="KL3" i="2"/>
  <c r="KK3" i="2"/>
  <c r="KJ3" i="2"/>
  <c r="KI3" i="2"/>
  <c r="KH3" i="2"/>
  <c r="KG3" i="2"/>
  <c r="KF3" i="2"/>
  <c r="KE3" i="2"/>
  <c r="KD3" i="2"/>
  <c r="KC3" i="2"/>
  <c r="KB3" i="2"/>
  <c r="KA3" i="2"/>
  <c r="JZ3" i="2"/>
  <c r="JY3" i="2"/>
  <c r="JX3" i="2"/>
  <c r="JW3" i="2"/>
  <c r="JV3" i="2"/>
  <c r="JU3" i="2"/>
  <c r="JT3" i="2"/>
  <c r="JS3" i="2"/>
  <c r="JR3" i="2"/>
  <c r="JQ3" i="2"/>
  <c r="JP3" i="2"/>
  <c r="JO3" i="2"/>
  <c r="JN3" i="2"/>
  <c r="JM3" i="2"/>
  <c r="JL3" i="2"/>
  <c r="JK3" i="2"/>
  <c r="JJ3" i="2"/>
  <c r="JI3" i="2"/>
  <c r="JH3" i="2"/>
  <c r="JG3" i="2"/>
  <c r="JF3" i="2"/>
  <c r="JE3" i="2"/>
  <c r="JD3" i="2"/>
  <c r="JC3" i="2"/>
  <c r="JB3" i="2"/>
  <c r="JA3" i="2"/>
  <c r="IZ3" i="2"/>
  <c r="IY3" i="2"/>
  <c r="IX3" i="2"/>
  <c r="IW3" i="2"/>
  <c r="IV3" i="2"/>
  <c r="IU3" i="2"/>
  <c r="IT3" i="2"/>
  <c r="IS3" i="2"/>
  <c r="IR3" i="2"/>
  <c r="IQ3" i="2"/>
  <c r="IP3" i="2"/>
  <c r="IO3" i="2"/>
  <c r="IN3" i="2"/>
  <c r="IM3" i="2"/>
  <c r="IL3" i="2"/>
  <c r="IK3" i="2"/>
  <c r="IJ3" i="2"/>
  <c r="II3" i="2"/>
  <c r="IH3" i="2"/>
  <c r="IG3" i="2"/>
  <c r="IF3" i="2"/>
  <c r="IE3" i="2"/>
  <c r="ID3" i="2"/>
  <c r="IC3" i="2"/>
  <c r="IB3" i="2"/>
  <c r="IA3" i="2"/>
  <c r="HZ3" i="2"/>
  <c r="HY3" i="2"/>
  <c r="HX3" i="2"/>
  <c r="HW3" i="2"/>
  <c r="HV3" i="2"/>
  <c r="HU3" i="2"/>
  <c r="HT3" i="2"/>
  <c r="HS3" i="2"/>
  <c r="HR3" i="2"/>
  <c r="HQ3" i="2"/>
  <c r="HP3" i="2"/>
  <c r="HO3" i="2"/>
  <c r="HN3" i="2"/>
  <c r="HM3" i="2"/>
  <c r="HL3" i="2"/>
  <c r="HK3" i="2"/>
  <c r="HJ3" i="2"/>
  <c r="HI3" i="2"/>
  <c r="HH3" i="2"/>
  <c r="HG3" i="2"/>
  <c r="HF3" i="2"/>
  <c r="HE3" i="2"/>
  <c r="HD3" i="2"/>
  <c r="HC3" i="2"/>
  <c r="HB3" i="2"/>
  <c r="HA3" i="2"/>
  <c r="GZ3" i="2"/>
  <c r="GY3" i="2"/>
  <c r="GX3" i="2"/>
  <c r="GW3" i="2"/>
  <c r="GV3" i="2"/>
  <c r="GU3" i="2"/>
  <c r="GT3" i="2"/>
  <c r="GS3" i="2"/>
  <c r="GR3" i="2"/>
  <c r="GQ3" i="2"/>
  <c r="GP3" i="2"/>
  <c r="GO3" i="2"/>
  <c r="GN3" i="2"/>
  <c r="GM3" i="2"/>
  <c r="GL3" i="2"/>
  <c r="GK3" i="2"/>
  <c r="GJ3" i="2"/>
  <c r="GI3" i="2"/>
  <c r="GH3" i="2"/>
  <c r="GG3" i="2"/>
  <c r="GF3" i="2"/>
  <c r="GE3" i="2"/>
  <c r="GD3" i="2"/>
  <c r="GC3" i="2"/>
  <c r="GB3" i="2"/>
  <c r="GA3" i="2"/>
  <c r="FZ3" i="2"/>
  <c r="FY3" i="2"/>
  <c r="FX3" i="2"/>
  <c r="FW3" i="2"/>
  <c r="FV3" i="2"/>
  <c r="FU3" i="2"/>
  <c r="FT3" i="2"/>
  <c r="FS3" i="2"/>
  <c r="FR3" i="2"/>
  <c r="FQ3" i="2"/>
  <c r="FP3" i="2"/>
  <c r="FO3" i="2"/>
  <c r="FN3" i="2"/>
  <c r="FM3" i="2"/>
  <c r="FL3" i="2"/>
  <c r="FK3" i="2"/>
  <c r="FJ3" i="2"/>
  <c r="FI3" i="2"/>
  <c r="FH3" i="2"/>
  <c r="FG3" i="2"/>
  <c r="FF3" i="2"/>
  <c r="FE3" i="2"/>
  <c r="FD3" i="2"/>
  <c r="FC3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L12" i="3" l="1"/>
  <c r="L26" i="3"/>
  <c r="L40" i="3"/>
  <c r="L54" i="3"/>
  <c r="L36" i="3"/>
  <c r="L50" i="3"/>
  <c r="L13" i="3"/>
  <c r="L41" i="3"/>
  <c r="L27" i="3"/>
  <c r="L4" i="3"/>
  <c r="L18" i="3"/>
  <c r="L32" i="3"/>
  <c r="L46" i="3"/>
  <c r="L8" i="3"/>
  <c r="L11" i="4"/>
  <c r="L14" i="3"/>
  <c r="L28" i="3"/>
  <c r="L9" i="4"/>
  <c r="L42" i="3"/>
  <c r="L5" i="3"/>
  <c r="L19" i="3"/>
  <c r="L8" i="4"/>
  <c r="L33" i="3"/>
  <c r="L47" i="3"/>
  <c r="L7" i="3"/>
  <c r="L10" i="3"/>
  <c r="L24" i="3"/>
  <c r="L7" i="4"/>
  <c r="L38" i="3"/>
  <c r="L52" i="3"/>
  <c r="L2" i="4"/>
  <c r="L2" i="3"/>
  <c r="L21" i="3"/>
  <c r="L45" i="3"/>
  <c r="L37" i="3"/>
  <c r="L12" i="4"/>
  <c r="L15" i="3"/>
  <c r="L6" i="4"/>
  <c r="L29" i="3"/>
  <c r="L43" i="3"/>
  <c r="L35" i="3"/>
  <c r="L3" i="4"/>
  <c r="L22" i="3"/>
  <c r="L23" i="3"/>
  <c r="L51" i="3"/>
  <c r="L6" i="3"/>
  <c r="L5" i="4"/>
  <c r="L20" i="3"/>
  <c r="L34" i="3"/>
  <c r="L48" i="3"/>
  <c r="L13" i="4"/>
  <c r="L11" i="3"/>
  <c r="L25" i="3"/>
  <c r="L39" i="3"/>
  <c r="L53" i="3"/>
  <c r="L4" i="4"/>
  <c r="L9" i="3"/>
  <c r="L16" i="3"/>
  <c r="L30" i="3"/>
  <c r="L44" i="3"/>
  <c r="F15" i="3"/>
  <c r="F29" i="3"/>
  <c r="F43" i="3"/>
  <c r="F4" i="4"/>
</calcChain>
</file>

<file path=xl/sharedStrings.xml><?xml version="1.0" encoding="utf-8"?>
<sst xmlns="http://schemas.openxmlformats.org/spreadsheetml/2006/main" count="855" uniqueCount="464">
  <si>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</si>
  <si>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</si>
  <si>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</si>
  <si>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</si>
  <si>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</si>
  <si>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</si>
  <si>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</si>
  <si>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</si>
  <si>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</si>
  <si>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</si>
  <si>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</si>
  <si>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</si>
  <si>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</si>
  <si>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</si>
  <si>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</si>
  <si>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</si>
  <si>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</si>
  <si>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</si>
  <si>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</si>
  <si>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</si>
  <si>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</si>
  <si>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</si>
  <si>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</si>
  <si>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</si>
  <si>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</si>
  <si>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</si>
  <si>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</si>
  <si>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</si>
  <si>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</si>
  <si>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</si>
  <si>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</si>
  <si>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</si>
  <si>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</si>
  <si>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</si>
  <si>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</si>
  <si>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</si>
  <si>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</si>
  <si>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</si>
  <si>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</si>
  <si>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</si>
  <si>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</si>
  <si>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</si>
  <si>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</si>
  <si>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</si>
  <si>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</si>
  <si>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</si>
  <si>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</si>
  <si>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</si>
  <si>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</si>
  <si>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</si>
  <si>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</si>
  <si>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</si>
  <si>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</si>
  <si>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</si>
  <si>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</si>
  <si>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</si>
  <si>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</si>
  <si>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</si>
  <si>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</si>
  <si>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</si>
  <si>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</si>
  <si>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</si>
  <si>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</si>
  <si>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</si>
  <si>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</si>
  <si>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</si>
  <si>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</si>
  <si>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</si>
  <si>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</si>
  <si>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</si>
  <si>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</si>
  <si>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</si>
  <si>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</si>
  <si>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</si>
  <si>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</si>
  <si>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</si>
  <si>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</si>
  <si>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</si>
  <si>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</si>
  <si>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</si>
  <si>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</si>
  <si>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</si>
  <si>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</si>
  <si>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</si>
  <si>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</si>
  <si>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</si>
  <si>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</si>
  <si>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</si>
  <si>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</si>
  <si>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</si>
  <si>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</si>
  <si>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</si>
  <si>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</si>
  <si>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</si>
  <si>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</si>
  <si>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</si>
  <si>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</si>
  <si>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</si>
  <si>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</si>
  <si>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</si>
  <si>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</si>
  <si>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</si>
  <si>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</si>
  <si>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</si>
  <si>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</si>
  <si>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</si>
  <si>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</si>
  <si>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</si>
  <si>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</si>
  <si>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</si>
  <si>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</si>
  <si>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</si>
  <si>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</si>
  <si>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</si>
  <si>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</si>
  <si>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</si>
  <si>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</si>
  <si>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</si>
  <si>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</si>
  <si>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</si>
  <si>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</si>
  <si>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</si>
  <si>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</si>
  <si>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</si>
  <si>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</si>
  <si>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</si>
  <si>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</si>
  <si>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</si>
  <si>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</si>
  <si>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</si>
  <si>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</si>
  <si>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</si>
  <si>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</si>
  <si>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</si>
  <si>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</si>
  <si>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</si>
  <si>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</si>
  <si>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</si>
  <si>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</si>
  <si>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</si>
  <si>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</si>
  <si>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</si>
  <si>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</si>
  <si>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</si>
  <si>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</si>
  <si>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</si>
  <si>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</si>
  <si>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</si>
  <si>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</si>
  <si>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</si>
  <si>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</si>
  <si>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</si>
  <si>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</si>
  <si>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</si>
  <si>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</si>
  <si>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</si>
  <si>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</si>
  <si>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</si>
  <si>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</si>
  <si>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</si>
  <si>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</si>
  <si>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</si>
  <si>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</si>
  <si>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</si>
  <si>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</si>
  <si>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</si>
  <si>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</si>
  <si>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</si>
  <si>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</si>
  <si>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</si>
  <si>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</si>
  <si>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</si>
  <si>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</si>
  <si>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</si>
  <si>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</si>
  <si>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</si>
  <si>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</si>
  <si>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</si>
  <si>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</si>
  <si>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</si>
  <si>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</si>
  <si>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</si>
  <si>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</si>
  <si>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</si>
  <si>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</si>
  <si>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</si>
  <si>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</si>
  <si>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</si>
  <si>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</si>
  <si>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</si>
  <si>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</si>
  <si>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</si>
  <si>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</si>
  <si>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</si>
  <si>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</si>
  <si>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</si>
  <si>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</si>
  <si>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</si>
  <si>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</si>
  <si>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</si>
  <si>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</si>
  <si>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</si>
  <si>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</si>
  <si>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</si>
  <si>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</si>
  <si>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</si>
  <si>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</si>
  <si>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</si>
  <si>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</si>
  <si>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</si>
  <si>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</si>
  <si>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</si>
  <si>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</si>
  <si>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</si>
  <si>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</si>
  <si>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</si>
  <si>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</si>
  <si>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</si>
  <si>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</si>
  <si>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</si>
  <si>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</si>
  <si>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</si>
  <si>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</si>
  <si>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</si>
  <si>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</si>
  <si>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</si>
  <si>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</si>
  <si>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</si>
  <si>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</si>
  <si>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</si>
  <si>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</si>
  <si>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</si>
  <si>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</si>
  <si>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</si>
  <si>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</si>
  <si>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</si>
  <si>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</si>
  <si>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</si>
  <si>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</si>
  <si>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</si>
  <si>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</si>
  <si>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</si>
  <si>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</si>
  <si>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</si>
  <si>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</si>
  <si>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</si>
  <si>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</si>
  <si>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</si>
  <si>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</si>
  <si>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</si>
  <si>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</si>
  <si>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</si>
  <si>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</si>
  <si>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</si>
  <si>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</si>
  <si>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</si>
  <si>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</si>
  <si>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</si>
  <si>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</si>
  <si>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</si>
  <si>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</si>
  <si>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</si>
  <si>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</si>
  <si>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</si>
  <si>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</si>
  <si>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</si>
  <si>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</si>
  <si>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</si>
  <si>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</si>
  <si>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</si>
  <si>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</si>
  <si>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</si>
  <si>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</si>
  <si>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</si>
  <si>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</si>
  <si>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</si>
  <si>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</si>
  <si>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</si>
  <si>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</si>
  <si>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</si>
  <si>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</si>
  <si>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</si>
  <si>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</si>
  <si>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</si>
  <si>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</si>
  <si>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</si>
  <si>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</si>
  <si>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</si>
  <si>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</si>
  <si>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</si>
  <si>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</si>
  <si>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</si>
  <si>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</si>
  <si>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</si>
  <si>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</si>
  <si>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</si>
  <si>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</si>
  <si>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</si>
  <si>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</si>
  <si>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</si>
  <si>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</si>
  <si>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</si>
  <si>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</si>
  <si>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</si>
  <si>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</si>
  <si>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</si>
  <si>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</si>
  <si>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</si>
  <si>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</si>
  <si>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</si>
  <si>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</si>
  <si>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</si>
  <si>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</si>
  <si>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</si>
  <si>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</si>
  <si>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</si>
  <si>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</si>
  <si>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</si>
  <si>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</si>
  <si>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</si>
  <si>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</si>
  <si>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</si>
  <si>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</si>
  <si>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</si>
  <si>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</si>
  <si>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</si>
  <si>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</si>
  <si>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</si>
  <si>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</si>
  <si>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</si>
  <si>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</si>
  <si>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</si>
  <si>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</si>
  <si>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</si>
  <si>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</si>
  <si>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</si>
  <si>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</si>
  <si>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</si>
  <si>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</si>
  <si>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</si>
  <si>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</si>
  <si>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</si>
  <si>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</si>
  <si>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</si>
  <si>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</si>
  <si>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</si>
  <si>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</si>
  <si>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</si>
  <si>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</si>
  <si>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</si>
  <si>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</si>
  <si>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</si>
  <si>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</si>
  <si>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</si>
  <si>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</si>
  <si>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</si>
  <si>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</si>
  <si>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</si>
  <si>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</si>
  <si>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</si>
  <si>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</si>
  <si>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</si>
  <si>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</si>
  <si>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</si>
  <si>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</si>
  <si>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Total</t>
  </si>
  <si>
    <t>Total revenue Parking</t>
  </si>
  <si>
    <t>Occupancy</t>
  </si>
  <si>
    <t>Available</t>
  </si>
  <si>
    <t>Occupied</t>
  </si>
  <si>
    <t>Revenue (nights)</t>
  </si>
  <si>
    <t>Average rate (nightly)</t>
  </si>
  <si>
    <t>Customers</t>
  </si>
  <si>
    <t>Revenue</t>
  </si>
  <si>
    <t>Turist tax revenue</t>
  </si>
  <si>
    <t>Total Revenue</t>
  </si>
  <si>
    <t>€118.692,87</t>
  </si>
  <si>
    <t>Arrival</t>
  </si>
  <si>
    <t>Departure</t>
  </si>
  <si>
    <t>ISO Week</t>
  </si>
  <si>
    <t>Week Start</t>
  </si>
  <si>
    <t>Week End</t>
  </si>
  <si>
    <t>Available (sum)</t>
  </si>
  <si>
    <t>Occupied (sum)</t>
  </si>
  <si>
    <t>Revenue Nights (€)</t>
  </si>
  <si>
    <t>ADR (€)</t>
  </si>
  <si>
    <t>Customers (sum)</t>
  </si>
  <si>
    <t>Tourist Tax (€)</t>
  </si>
  <si>
    <t>Parking (€)</t>
  </si>
  <si>
    <t>Total Revenue (€)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</si>
  <si>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</si>
  <si>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</si>
  <si>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</si>
  <si>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</si>
  <si>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</si>
  <si>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</si>
  <si>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</si>
  <si>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</si>
  <si>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</si>
  <si>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</si>
  <si>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</si>
  <si>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</si>
  <si>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</si>
  <si>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</si>
  <si>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</si>
  <si>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</si>
  <si>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</si>
  <si>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</si>
  <si>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</si>
  <si>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</si>
  <si>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</si>
  <si>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</si>
  <si>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</si>
  <si>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</si>
  <si>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</si>
  <si>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</si>
  <si>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</si>
  <si>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</si>
  <si>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</si>
  <si>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</si>
  <si>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</si>
  <si>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</si>
  <si>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</si>
  <si>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</si>
  <si>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</si>
  <si>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</si>
  <si>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</si>
  <si>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</si>
  <si>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</si>
  <si>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</si>
  <si>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</si>
  <si>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</si>
  <si>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</si>
  <si>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</si>
  <si>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</si>
  <si>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</si>
  <si>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</si>
  <si>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</si>
  <si>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</si>
  <si>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</si>
  <si>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</si>
  <si>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</si>
  <si>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2026-W53</t>
  </si>
  <si>
    <t>Month</t>
  </si>
  <si>
    <t>Month Start</t>
  </si>
  <si>
    <t>Month 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</si>
  <si>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</si>
  <si>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</si>
  <si>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</si>
  <si>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</si>
  <si>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</si>
  <si>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</si>
  <si>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</si>
  <si>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</si>
  <si>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</si>
  <si>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</si>
  <si>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</si>
  <si>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</si>
  <si>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Weather</t>
  </si>
  <si>
    <t>Partly Cloud</t>
  </si>
  <si>
    <t>Humidade</t>
  </si>
  <si>
    <t>ventos</t>
  </si>
  <si>
    <t>25 km/h</t>
  </si>
  <si>
    <t>10ºC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</si>
</sst>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;\−\€#,##0.00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2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23" sqref="D23"/>
    </sheetView>
  </sheetViews>
  <sheetFormatPr defaultRowHeight="14.4" x14ac:dyDescent="0.3"/>
  <cols>
    <col min="1" max="1" width="18.77734375" bestFit="1" customWidth="1"/>
  </cols>
  <sheetData>
    <row r="1" spans="1:36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</row>
    <row r="2" spans="1:367" x14ac:dyDescent="0.3">
      <c r="A2" t="s">
        <v>366</v>
      </c>
      <c r="B2" s="1">
        <v>45</v>
      </c>
      <c r="C2" s="1">
        <v>30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30</v>
      </c>
      <c r="K2" s="1">
        <v>15</v>
      </c>
      <c r="L2" s="1">
        <v>0</v>
      </c>
      <c r="M2" s="1">
        <v>0</v>
      </c>
      <c r="N2" s="1">
        <v>0</v>
      </c>
      <c r="O2" s="1">
        <v>15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15</v>
      </c>
      <c r="AG2" s="1">
        <v>0</v>
      </c>
      <c r="AH2" s="1">
        <v>15</v>
      </c>
      <c r="AI2" s="1">
        <v>0</v>
      </c>
      <c r="AJ2" s="1">
        <v>0</v>
      </c>
      <c r="AK2" s="1">
        <v>0</v>
      </c>
      <c r="AL2" s="1">
        <v>30</v>
      </c>
      <c r="AM2" s="1">
        <v>15</v>
      </c>
      <c r="AN2" s="1">
        <v>120</v>
      </c>
      <c r="AO2" s="1">
        <v>0</v>
      </c>
      <c r="AP2" s="1">
        <v>0</v>
      </c>
      <c r="AQ2" s="1">
        <v>30</v>
      </c>
      <c r="AR2" s="1">
        <v>0</v>
      </c>
      <c r="AS2" s="1">
        <v>150</v>
      </c>
      <c r="AT2" s="1">
        <v>240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30</v>
      </c>
      <c r="BA2" s="1">
        <v>15</v>
      </c>
      <c r="BB2" s="1">
        <v>0</v>
      </c>
      <c r="BC2" s="1">
        <v>0</v>
      </c>
      <c r="BD2" s="1">
        <v>30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>
        <v>825</v>
      </c>
    </row>
    <row r="3" spans="1:367" x14ac:dyDescent="0.3">
      <c r="A3" t="s">
        <v>367</v>
      </c>
      <c r="B3" s="2">
        <v>0.37037037037037041</v>
      </c>
      <c r="C3" s="2">
        <v>0.1851851851851852</v>
      </c>
      <c r="D3" s="2">
        <v>0.22222222222222221</v>
      </c>
      <c r="E3" s="2">
        <v>7.4074074074074084E-2</v>
      </c>
      <c r="F3" s="2">
        <v>0</v>
      </c>
      <c r="G3" s="2">
        <v>0</v>
      </c>
      <c r="H3" s="2">
        <v>0</v>
      </c>
      <c r="I3" s="2">
        <v>0</v>
      </c>
      <c r="J3" s="2">
        <v>7.4074074074074084E-2</v>
      </c>
      <c r="K3" s="2">
        <v>7.4074074074074084E-2</v>
      </c>
      <c r="L3" s="2">
        <v>0</v>
      </c>
      <c r="M3" s="2">
        <v>0</v>
      </c>
      <c r="N3" s="2">
        <v>0</v>
      </c>
      <c r="O3" s="2">
        <v>3.7037037037037028E-2</v>
      </c>
      <c r="P3" s="2">
        <v>0</v>
      </c>
      <c r="Q3" s="2">
        <v>3.7037037037037028E-2</v>
      </c>
      <c r="R3" s="2">
        <v>3.7037037037037028E-2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7.4074074074074084E-2</v>
      </c>
      <c r="Z3" s="2">
        <v>0</v>
      </c>
      <c r="AA3" s="2">
        <v>0</v>
      </c>
      <c r="AB3" s="2">
        <v>3.7037037037037028E-2</v>
      </c>
      <c r="AC3" s="2">
        <v>3.7037037037037028E-2</v>
      </c>
      <c r="AD3" s="2">
        <v>3.7037037037037028E-2</v>
      </c>
      <c r="AE3" s="2">
        <v>7.4074074074074084E-2</v>
      </c>
      <c r="AF3" s="2">
        <v>0.1111111111111111</v>
      </c>
      <c r="AG3" s="2">
        <v>7.4074074074074084E-2</v>
      </c>
      <c r="AH3" s="2">
        <v>7.4074074074074084E-2</v>
      </c>
      <c r="AI3" s="2">
        <v>7.4074074074074084E-2</v>
      </c>
      <c r="AJ3" s="2">
        <v>3.7037037037037028E-2</v>
      </c>
      <c r="AK3" s="2">
        <v>0</v>
      </c>
      <c r="AL3" s="2">
        <v>7.4074074074074084E-2</v>
      </c>
      <c r="AM3" s="2">
        <v>7.4074074074074084E-2</v>
      </c>
      <c r="AN3" s="2">
        <v>0.1111111111111111</v>
      </c>
      <c r="AO3" s="2">
        <v>0.1111111111111111</v>
      </c>
      <c r="AP3" s="2">
        <v>0.1481481481481482</v>
      </c>
      <c r="AQ3" s="2">
        <v>0.1785714285714286</v>
      </c>
      <c r="AR3" s="2">
        <v>7.1428571428571438E-2</v>
      </c>
      <c r="AS3" s="2">
        <v>0.25</v>
      </c>
      <c r="AT3" s="2">
        <v>0.85714285714285721</v>
      </c>
      <c r="AU3" s="2">
        <v>3.5714285714285719E-2</v>
      </c>
      <c r="AV3" s="2">
        <v>3.5714285714285719E-2</v>
      </c>
      <c r="AW3" s="2">
        <v>0</v>
      </c>
      <c r="AX3" s="2">
        <v>0</v>
      </c>
      <c r="AY3" s="2">
        <v>7.1428571428571438E-2</v>
      </c>
      <c r="AZ3" s="2">
        <v>0.10714285714285721</v>
      </c>
      <c r="BA3" s="2">
        <v>3.5714285714285719E-2</v>
      </c>
      <c r="BB3" s="2">
        <v>0</v>
      </c>
      <c r="BC3" s="2">
        <v>0</v>
      </c>
      <c r="BD3" s="2">
        <v>3.5714285714285719E-2</v>
      </c>
      <c r="BE3" s="2">
        <v>3.5714285714285719E-2</v>
      </c>
      <c r="BF3" s="2">
        <v>0</v>
      </c>
      <c r="BG3" s="2">
        <v>3.5714285714285719E-2</v>
      </c>
      <c r="BH3" s="2">
        <v>0.1785714285714286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0.10714285714285721</v>
      </c>
      <c r="BO3" s="2">
        <v>0.28571428571428581</v>
      </c>
      <c r="BP3" s="2">
        <v>3.5714285714285719E-2</v>
      </c>
      <c r="BQ3" s="2">
        <v>3.5714285714285719E-2</v>
      </c>
      <c r="BR3" s="2">
        <v>0</v>
      </c>
      <c r="BS3" s="2">
        <v>0</v>
      </c>
      <c r="BT3" s="2">
        <v>0</v>
      </c>
      <c r="BU3" s="2">
        <v>7.1428571428571438E-2</v>
      </c>
      <c r="BV3" s="2">
        <v>0.25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7.1428571428571438E-2</v>
      </c>
      <c r="CC3" s="2">
        <v>0.25</v>
      </c>
      <c r="CD3" s="2">
        <v>0</v>
      </c>
      <c r="CE3" s="2">
        <v>0</v>
      </c>
      <c r="CF3" s="2">
        <v>0</v>
      </c>
      <c r="CG3" s="2">
        <v>3.5714285714285719E-2</v>
      </c>
      <c r="CH3" s="2">
        <v>3.5714285714285719E-2</v>
      </c>
      <c r="CI3" s="2">
        <v>7.1428571428571438E-2</v>
      </c>
      <c r="CJ3" s="2">
        <v>0.10714285714285721</v>
      </c>
      <c r="CK3" s="2">
        <v>3.5714285714285719E-2</v>
      </c>
      <c r="CL3" s="2">
        <v>7.1428571428571438E-2</v>
      </c>
      <c r="CM3" s="2">
        <v>3.5714285714285719E-2</v>
      </c>
      <c r="CN3" s="2">
        <v>7.1428571428571438E-2</v>
      </c>
      <c r="CO3" s="2">
        <v>0.2142857142857143</v>
      </c>
      <c r="CP3" s="2">
        <v>0.57142857142857151</v>
      </c>
      <c r="CQ3" s="2">
        <v>0.75</v>
      </c>
      <c r="CR3" s="2">
        <v>0.2142857142857143</v>
      </c>
      <c r="CS3" s="2">
        <v>0.1428571428571429</v>
      </c>
      <c r="CT3" s="2">
        <v>0.28571428571428581</v>
      </c>
      <c r="CU3" s="2">
        <v>0.25</v>
      </c>
      <c r="CV3" s="2">
        <v>0.35714285714285721</v>
      </c>
      <c r="CW3" s="2">
        <v>0.39285714285714279</v>
      </c>
      <c r="CX3" s="2">
        <v>0.8928571428571429</v>
      </c>
      <c r="CY3" s="2">
        <v>0.2142857142857143</v>
      </c>
      <c r="CZ3" s="2">
        <v>0.10714285714285721</v>
      </c>
      <c r="DA3" s="2">
        <v>0.1428571428571429</v>
      </c>
      <c r="DB3" s="2">
        <v>0.32142857142857151</v>
      </c>
      <c r="DC3" s="2">
        <v>0.85714285714285721</v>
      </c>
      <c r="DD3" s="2">
        <v>0.8928571428571429</v>
      </c>
      <c r="DE3" s="2">
        <v>0.8928571428571429</v>
      </c>
      <c r="DF3" s="2">
        <v>0.53571428571428581</v>
      </c>
      <c r="DG3" s="2">
        <v>0.57142857142857151</v>
      </c>
      <c r="DH3" s="2">
        <v>0.6428571428571429</v>
      </c>
      <c r="DI3" s="2">
        <v>0.5</v>
      </c>
      <c r="DJ3" s="2">
        <v>0.6428571428571429</v>
      </c>
      <c r="DK3" s="2">
        <v>0.7857142857142857</v>
      </c>
      <c r="DL3" s="2">
        <v>0.7857142857142857</v>
      </c>
      <c r="DM3" s="2">
        <v>0.10714285714285721</v>
      </c>
      <c r="DN3" s="2">
        <v>0.28571428571428581</v>
      </c>
      <c r="DO3" s="2">
        <v>0.32142857142857151</v>
      </c>
      <c r="DP3" s="2">
        <v>0.35714285714285721</v>
      </c>
      <c r="DQ3" s="2">
        <v>0.32142857142857151</v>
      </c>
      <c r="DR3" s="2">
        <v>0.8928571428571429</v>
      </c>
      <c r="DS3" s="2">
        <v>0.85714285714285721</v>
      </c>
      <c r="DT3" s="2">
        <v>3.5714285714285719E-2</v>
      </c>
      <c r="DU3" s="2">
        <v>0</v>
      </c>
      <c r="DV3" s="2">
        <v>0</v>
      </c>
      <c r="DW3" s="2">
        <v>0</v>
      </c>
      <c r="DX3" s="2">
        <v>0</v>
      </c>
      <c r="DY3" s="2">
        <v>3.5714285714285719E-2</v>
      </c>
      <c r="DZ3" s="2">
        <v>0.53571428571428581</v>
      </c>
      <c r="EA3" s="2">
        <v>3.5714285714285719E-2</v>
      </c>
      <c r="EB3" s="2">
        <v>3.5714285714285719E-2</v>
      </c>
      <c r="EC3" s="2">
        <v>3.5714285714285719E-2</v>
      </c>
      <c r="ED3" s="2">
        <v>7.1428571428571438E-2</v>
      </c>
      <c r="EE3" s="2">
        <v>0.75</v>
      </c>
      <c r="EF3" s="2">
        <v>0.8928571428571429</v>
      </c>
      <c r="EG3" s="2">
        <v>0.7857142857142857</v>
      </c>
      <c r="EH3" s="2">
        <v>3.5714285714285719E-2</v>
      </c>
      <c r="EI3" s="2">
        <v>0.10714285714285721</v>
      </c>
      <c r="EJ3" s="2">
        <v>0.10714285714285721</v>
      </c>
      <c r="EK3" s="2">
        <v>7.1428571428571438E-2</v>
      </c>
      <c r="EL3" s="2">
        <v>0.10714285714285721</v>
      </c>
      <c r="EM3" s="2">
        <v>0.1785714285714286</v>
      </c>
      <c r="EN3" s="2">
        <v>0.75</v>
      </c>
      <c r="EO3" s="2">
        <v>0.10714285714285721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0.53571428571428581</v>
      </c>
      <c r="EV3" s="2">
        <v>0</v>
      </c>
      <c r="EW3" s="2">
        <v>3.5714285714285719E-2</v>
      </c>
      <c r="EX3" s="2">
        <v>0</v>
      </c>
      <c r="EY3" s="2">
        <v>0</v>
      </c>
      <c r="EZ3" s="2">
        <v>0.32142857142857151</v>
      </c>
      <c r="FA3" s="2">
        <v>0.5</v>
      </c>
      <c r="FB3" s="2">
        <v>0.57142857142857151</v>
      </c>
      <c r="FC3" s="2">
        <v>3.5714285714285719E-2</v>
      </c>
      <c r="FD3" s="2">
        <v>3.5714285714285719E-2</v>
      </c>
      <c r="FE3" s="2">
        <v>3.5714285714285719E-2</v>
      </c>
      <c r="FF3" s="2">
        <v>3.5714285714285719E-2</v>
      </c>
      <c r="FG3" s="2">
        <v>0</v>
      </c>
      <c r="FH3" s="2">
        <v>7.1428571428571438E-2</v>
      </c>
      <c r="FI3" s="2">
        <v>0.4642857142857143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7.1428571428571438E-2</v>
      </c>
      <c r="FP3" s="2">
        <v>0.7857142857142857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0.35714285714285721</v>
      </c>
      <c r="FW3" s="2">
        <v>0.75</v>
      </c>
      <c r="FX3" s="2">
        <v>3.5714285714285719E-2</v>
      </c>
      <c r="FY3" s="2">
        <v>7.1428571428571438E-2</v>
      </c>
      <c r="FZ3" s="2">
        <v>7.1428571428571438E-2</v>
      </c>
      <c r="GA3" s="2">
        <v>6.6666666666666666E-2</v>
      </c>
      <c r="GB3" s="2">
        <v>0</v>
      </c>
      <c r="GC3" s="2">
        <v>6.6666666666666666E-2</v>
      </c>
      <c r="GD3" s="2">
        <v>0.56666666666666665</v>
      </c>
      <c r="GE3" s="2">
        <v>0.1333333333333333</v>
      </c>
      <c r="GF3" s="2">
        <v>3.3333333333333333E-2</v>
      </c>
      <c r="GG3" s="2">
        <v>3.3333333333333333E-2</v>
      </c>
      <c r="GH3" s="2">
        <v>3.3333333333333333E-2</v>
      </c>
      <c r="GI3" s="2">
        <v>3.3333333333333333E-2</v>
      </c>
      <c r="GJ3" s="2">
        <v>6.6666666666666666E-2</v>
      </c>
      <c r="GK3" s="2">
        <v>0.16666666666666671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0.1333333333333333</v>
      </c>
      <c r="GR3" s="2">
        <v>0.1333333333333333</v>
      </c>
      <c r="GS3" s="2">
        <v>0.1</v>
      </c>
      <c r="GT3" s="2">
        <v>0</v>
      </c>
      <c r="GU3" s="2">
        <v>6.6666666666666666E-2</v>
      </c>
      <c r="GV3" s="2">
        <v>0</v>
      </c>
      <c r="GW3" s="2">
        <v>0</v>
      </c>
      <c r="GX3" s="2">
        <v>3.3333333333333333E-2</v>
      </c>
      <c r="GY3" s="2">
        <v>0.3</v>
      </c>
      <c r="GZ3" s="2">
        <v>0.1333333333333333</v>
      </c>
      <c r="HA3" s="2">
        <v>3.3333333333333333E-2</v>
      </c>
      <c r="HB3" s="2">
        <v>3.3333333333333333E-2</v>
      </c>
      <c r="HC3" s="2">
        <v>6.6666666666666666E-2</v>
      </c>
      <c r="HD3" s="2">
        <v>0.1</v>
      </c>
      <c r="HE3" s="2">
        <v>0.3</v>
      </c>
      <c r="HF3" s="2">
        <v>0.26666666666666672</v>
      </c>
      <c r="HG3" s="2">
        <v>6.6666666666666666E-2</v>
      </c>
      <c r="HH3" s="2">
        <v>0</v>
      </c>
      <c r="HI3" s="2">
        <v>0</v>
      </c>
      <c r="HJ3" s="2">
        <v>0</v>
      </c>
      <c r="HK3" s="2">
        <v>0</v>
      </c>
      <c r="HL3" s="2">
        <v>0.1333333333333333</v>
      </c>
      <c r="HM3" s="2">
        <v>0.16666666666666671</v>
      </c>
      <c r="HN3" s="2">
        <v>0</v>
      </c>
      <c r="HO3" s="2">
        <v>3.3333333333333333E-2</v>
      </c>
      <c r="HP3" s="2">
        <v>6.6666666666666666E-2</v>
      </c>
      <c r="HQ3" s="2">
        <v>6.6666666666666666E-2</v>
      </c>
      <c r="HR3" s="2">
        <v>6.6666666666666666E-2</v>
      </c>
      <c r="HS3" s="2">
        <v>6.6666666666666666E-2</v>
      </c>
      <c r="HT3" s="2">
        <v>0.3666666666666667</v>
      </c>
      <c r="HU3" s="2">
        <v>6.6666666666666666E-2</v>
      </c>
      <c r="HV3" s="2">
        <v>3.3333333333333333E-2</v>
      </c>
      <c r="HW3" s="2">
        <v>0</v>
      </c>
      <c r="HX3" s="2">
        <v>0</v>
      </c>
      <c r="HY3" s="2">
        <v>0.16666666666666671</v>
      </c>
      <c r="HZ3" s="2">
        <v>0.73333333333333339</v>
      </c>
      <c r="IA3" s="2">
        <v>0.83333333333333337</v>
      </c>
      <c r="IB3" s="2">
        <v>0.1333333333333333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3.3333333333333333E-2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0.43333333333333329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6.6666666666666666E-2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3.3333333333333333E-2</v>
      </c>
      <c r="KE3" s="2">
        <v>3.3333333333333333E-2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>
        <v>9.8795866123068177E-2</v>
      </c>
    </row>
    <row r="4" spans="1:367" x14ac:dyDescent="0.3">
      <c r="A4" t="s">
        <v>368</v>
      </c>
      <c r="B4">
        <v>27</v>
      </c>
      <c r="C4">
        <v>27</v>
      </c>
      <c r="D4">
        <v>27</v>
      </c>
      <c r="E4">
        <v>27</v>
      </c>
      <c r="F4">
        <v>27</v>
      </c>
      <c r="G4">
        <v>27</v>
      </c>
      <c r="H4">
        <v>27</v>
      </c>
      <c r="I4">
        <v>27</v>
      </c>
      <c r="J4">
        <v>27</v>
      </c>
      <c r="K4">
        <v>27</v>
      </c>
      <c r="L4">
        <v>27</v>
      </c>
      <c r="M4">
        <v>27</v>
      </c>
      <c r="N4">
        <v>27</v>
      </c>
      <c r="O4">
        <v>27</v>
      </c>
      <c r="P4">
        <v>27</v>
      </c>
      <c r="Q4">
        <v>27</v>
      </c>
      <c r="R4">
        <v>27</v>
      </c>
      <c r="S4">
        <v>27</v>
      </c>
      <c r="T4">
        <v>27</v>
      </c>
      <c r="U4">
        <v>27</v>
      </c>
      <c r="V4">
        <v>27</v>
      </c>
      <c r="W4">
        <v>27</v>
      </c>
      <c r="X4">
        <v>27</v>
      </c>
      <c r="Y4">
        <v>27</v>
      </c>
      <c r="Z4">
        <v>27</v>
      </c>
      <c r="AA4">
        <v>27</v>
      </c>
      <c r="AB4">
        <v>27</v>
      </c>
      <c r="AC4">
        <v>27</v>
      </c>
      <c r="AD4">
        <v>27</v>
      </c>
      <c r="AE4">
        <v>27</v>
      </c>
      <c r="AF4">
        <v>27</v>
      </c>
      <c r="AG4">
        <v>27</v>
      </c>
      <c r="AH4">
        <v>27</v>
      </c>
      <c r="AI4">
        <v>27</v>
      </c>
      <c r="AJ4">
        <v>27</v>
      </c>
      <c r="AK4">
        <v>27</v>
      </c>
      <c r="AL4">
        <v>27</v>
      </c>
      <c r="AM4">
        <v>27</v>
      </c>
      <c r="AN4">
        <v>27</v>
      </c>
      <c r="AO4">
        <v>27</v>
      </c>
      <c r="AP4">
        <v>27</v>
      </c>
      <c r="AQ4">
        <v>28</v>
      </c>
      <c r="AR4">
        <v>28</v>
      </c>
      <c r="AS4">
        <v>28</v>
      </c>
      <c r="AT4">
        <v>28</v>
      </c>
      <c r="AU4">
        <v>28</v>
      </c>
      <c r="AV4">
        <v>28</v>
      </c>
      <c r="AW4">
        <v>28</v>
      </c>
      <c r="AX4">
        <v>28</v>
      </c>
      <c r="AY4">
        <v>28</v>
      </c>
      <c r="AZ4">
        <v>28</v>
      </c>
      <c r="BA4">
        <v>28</v>
      </c>
      <c r="BB4">
        <v>28</v>
      </c>
      <c r="BC4">
        <v>28</v>
      </c>
      <c r="BD4">
        <v>28</v>
      </c>
      <c r="BE4">
        <v>28</v>
      </c>
      <c r="BF4">
        <v>28</v>
      </c>
      <c r="BG4">
        <v>28</v>
      </c>
      <c r="BH4">
        <v>28</v>
      </c>
      <c r="BI4">
        <v>28</v>
      </c>
      <c r="BJ4">
        <v>28</v>
      </c>
      <c r="BK4">
        <v>28</v>
      </c>
      <c r="BL4">
        <v>28</v>
      </c>
      <c r="BM4">
        <v>28</v>
      </c>
      <c r="BN4">
        <v>28</v>
      </c>
      <c r="BO4">
        <v>28</v>
      </c>
      <c r="BP4">
        <v>28</v>
      </c>
      <c r="BQ4">
        <v>28</v>
      </c>
      <c r="BR4">
        <v>28</v>
      </c>
      <c r="BS4">
        <v>28</v>
      </c>
      <c r="BT4">
        <v>28</v>
      </c>
      <c r="BU4">
        <v>28</v>
      </c>
      <c r="BV4">
        <v>28</v>
      </c>
      <c r="BW4">
        <v>28</v>
      </c>
      <c r="BX4">
        <v>28</v>
      </c>
      <c r="BY4">
        <v>28</v>
      </c>
      <c r="BZ4">
        <v>28</v>
      </c>
      <c r="CA4">
        <v>28</v>
      </c>
      <c r="CB4">
        <v>28</v>
      </c>
      <c r="CC4">
        <v>28</v>
      </c>
      <c r="CD4">
        <v>28</v>
      </c>
      <c r="CE4">
        <v>28</v>
      </c>
      <c r="CF4">
        <v>28</v>
      </c>
      <c r="CG4">
        <v>28</v>
      </c>
      <c r="CH4">
        <v>28</v>
      </c>
      <c r="CI4">
        <v>28</v>
      </c>
      <c r="CJ4">
        <v>28</v>
      </c>
      <c r="CK4">
        <v>28</v>
      </c>
      <c r="CL4">
        <v>28</v>
      </c>
      <c r="CM4">
        <v>28</v>
      </c>
      <c r="CN4">
        <v>28</v>
      </c>
      <c r="CO4">
        <v>28</v>
      </c>
      <c r="CP4">
        <v>28</v>
      </c>
      <c r="CQ4">
        <v>28</v>
      </c>
      <c r="CR4">
        <v>28</v>
      </c>
      <c r="CS4">
        <v>28</v>
      </c>
      <c r="CT4">
        <v>28</v>
      </c>
      <c r="CU4">
        <v>28</v>
      </c>
      <c r="CV4">
        <v>28</v>
      </c>
      <c r="CW4">
        <v>28</v>
      </c>
      <c r="CX4">
        <v>28</v>
      </c>
      <c r="CY4">
        <v>28</v>
      </c>
      <c r="CZ4">
        <v>28</v>
      </c>
      <c r="DA4">
        <v>28</v>
      </c>
      <c r="DB4">
        <v>28</v>
      </c>
      <c r="DC4">
        <v>28</v>
      </c>
      <c r="DD4">
        <v>28</v>
      </c>
      <c r="DE4">
        <v>28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28</v>
      </c>
      <c r="DN4">
        <v>28</v>
      </c>
      <c r="DO4">
        <v>28</v>
      </c>
      <c r="DP4">
        <v>28</v>
      </c>
      <c r="DQ4">
        <v>28</v>
      </c>
      <c r="DR4">
        <v>28</v>
      </c>
      <c r="DS4">
        <v>28</v>
      </c>
      <c r="DT4">
        <v>28</v>
      </c>
      <c r="DU4">
        <v>28</v>
      </c>
      <c r="DV4">
        <v>28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28</v>
      </c>
      <c r="ET4">
        <v>28</v>
      </c>
      <c r="EU4">
        <v>28</v>
      </c>
      <c r="EV4">
        <v>28</v>
      </c>
      <c r="EW4">
        <v>28</v>
      </c>
      <c r="EX4">
        <v>28</v>
      </c>
      <c r="EY4">
        <v>28</v>
      </c>
      <c r="EZ4">
        <v>28</v>
      </c>
      <c r="FA4">
        <v>28</v>
      </c>
      <c r="FB4">
        <v>28</v>
      </c>
      <c r="FC4">
        <v>28</v>
      </c>
      <c r="FD4">
        <v>28</v>
      </c>
      <c r="FE4">
        <v>28</v>
      </c>
      <c r="FF4">
        <v>28</v>
      </c>
      <c r="FG4">
        <v>28</v>
      </c>
      <c r="FH4">
        <v>28</v>
      </c>
      <c r="FI4">
        <v>28</v>
      </c>
      <c r="FJ4">
        <v>28</v>
      </c>
      <c r="FK4">
        <v>28</v>
      </c>
      <c r="FL4">
        <v>28</v>
      </c>
      <c r="FM4">
        <v>28</v>
      </c>
      <c r="FN4">
        <v>28</v>
      </c>
      <c r="FO4">
        <v>28</v>
      </c>
      <c r="FP4">
        <v>28</v>
      </c>
      <c r="FQ4">
        <v>28</v>
      </c>
      <c r="FR4">
        <v>28</v>
      </c>
      <c r="FS4">
        <v>28</v>
      </c>
      <c r="FT4">
        <v>28</v>
      </c>
      <c r="FU4">
        <v>28</v>
      </c>
      <c r="FV4">
        <v>28</v>
      </c>
      <c r="FW4">
        <v>28</v>
      </c>
      <c r="FX4">
        <v>28</v>
      </c>
      <c r="FY4">
        <v>28</v>
      </c>
      <c r="FZ4">
        <v>28</v>
      </c>
      <c r="GA4">
        <v>30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30</v>
      </c>
      <c r="GH4">
        <v>30</v>
      </c>
      <c r="GI4">
        <v>30</v>
      </c>
      <c r="GJ4">
        <v>30</v>
      </c>
      <c r="GK4">
        <v>30</v>
      </c>
      <c r="GL4">
        <v>30</v>
      </c>
      <c r="GM4">
        <v>30</v>
      </c>
      <c r="GN4">
        <v>30</v>
      </c>
      <c r="GO4">
        <v>30</v>
      </c>
      <c r="GP4">
        <v>30</v>
      </c>
      <c r="GQ4">
        <v>30</v>
      </c>
      <c r="GR4">
        <v>30</v>
      </c>
      <c r="GS4">
        <v>30</v>
      </c>
      <c r="GT4">
        <v>30</v>
      </c>
      <c r="GU4">
        <v>30</v>
      </c>
      <c r="GV4">
        <v>30</v>
      </c>
      <c r="GW4">
        <v>30</v>
      </c>
      <c r="GX4">
        <v>30</v>
      </c>
      <c r="GY4">
        <v>30</v>
      </c>
      <c r="GZ4">
        <v>30</v>
      </c>
      <c r="HA4">
        <v>30</v>
      </c>
      <c r="HB4">
        <v>30</v>
      </c>
      <c r="HC4">
        <v>30</v>
      </c>
      <c r="HD4">
        <v>30</v>
      </c>
      <c r="HE4">
        <v>30</v>
      </c>
      <c r="HF4">
        <v>30</v>
      </c>
      <c r="HG4">
        <v>30</v>
      </c>
      <c r="HH4">
        <v>30</v>
      </c>
      <c r="HI4">
        <v>30</v>
      </c>
      <c r="HJ4">
        <v>30</v>
      </c>
      <c r="HK4">
        <v>30</v>
      </c>
      <c r="HL4">
        <v>30</v>
      </c>
      <c r="HM4">
        <v>30</v>
      </c>
      <c r="HN4">
        <v>30</v>
      </c>
      <c r="HO4">
        <v>30</v>
      </c>
      <c r="HP4">
        <v>30</v>
      </c>
      <c r="HQ4">
        <v>30</v>
      </c>
      <c r="HR4">
        <v>30</v>
      </c>
      <c r="HS4">
        <v>30</v>
      </c>
      <c r="HT4">
        <v>30</v>
      </c>
      <c r="HU4">
        <v>30</v>
      </c>
      <c r="HV4">
        <v>30</v>
      </c>
      <c r="HW4">
        <v>30</v>
      </c>
      <c r="HX4">
        <v>30</v>
      </c>
      <c r="HY4">
        <v>30</v>
      </c>
      <c r="HZ4">
        <v>30</v>
      </c>
      <c r="IA4">
        <v>30</v>
      </c>
      <c r="IB4">
        <v>30</v>
      </c>
      <c r="IC4">
        <v>30</v>
      </c>
      <c r="ID4">
        <v>30</v>
      </c>
      <c r="IE4">
        <v>30</v>
      </c>
      <c r="IF4">
        <v>30</v>
      </c>
      <c r="IG4">
        <v>30</v>
      </c>
      <c r="IH4">
        <v>30</v>
      </c>
      <c r="II4">
        <v>30</v>
      </c>
      <c r="IJ4">
        <v>30</v>
      </c>
      <c r="IK4">
        <v>30</v>
      </c>
      <c r="IL4">
        <v>30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30</v>
      </c>
      <c r="IW4">
        <v>30</v>
      </c>
      <c r="IX4">
        <v>30</v>
      </c>
      <c r="IY4">
        <v>30</v>
      </c>
      <c r="IZ4">
        <v>30</v>
      </c>
      <c r="JA4">
        <v>30</v>
      </c>
      <c r="JB4">
        <v>30</v>
      </c>
      <c r="JC4">
        <v>30</v>
      </c>
      <c r="JD4">
        <v>30</v>
      </c>
      <c r="JE4">
        <v>30</v>
      </c>
      <c r="JF4">
        <v>30</v>
      </c>
      <c r="JG4">
        <v>30</v>
      </c>
      <c r="JH4">
        <v>30</v>
      </c>
      <c r="JI4">
        <v>30</v>
      </c>
      <c r="JJ4">
        <v>30</v>
      </c>
      <c r="JK4">
        <v>30</v>
      </c>
      <c r="JL4">
        <v>30</v>
      </c>
      <c r="JM4">
        <v>30</v>
      </c>
      <c r="JN4">
        <v>30</v>
      </c>
      <c r="JO4">
        <v>30</v>
      </c>
      <c r="JP4">
        <v>30</v>
      </c>
      <c r="JQ4">
        <v>30</v>
      </c>
      <c r="JR4">
        <v>30</v>
      </c>
      <c r="JS4">
        <v>30</v>
      </c>
      <c r="JT4">
        <v>30</v>
      </c>
      <c r="JU4">
        <v>30</v>
      </c>
      <c r="JV4">
        <v>30</v>
      </c>
      <c r="JW4">
        <v>30</v>
      </c>
      <c r="JX4">
        <v>30</v>
      </c>
      <c r="JY4">
        <v>30</v>
      </c>
      <c r="JZ4">
        <v>30</v>
      </c>
      <c r="KA4">
        <v>30</v>
      </c>
      <c r="KB4">
        <v>30</v>
      </c>
      <c r="KC4">
        <v>30</v>
      </c>
      <c r="KD4">
        <v>30</v>
      </c>
      <c r="KE4">
        <v>30</v>
      </c>
      <c r="KF4">
        <v>30</v>
      </c>
      <c r="KG4">
        <v>30</v>
      </c>
      <c r="KH4">
        <v>30</v>
      </c>
      <c r="KI4">
        <v>30</v>
      </c>
      <c r="KJ4">
        <v>30</v>
      </c>
      <c r="KK4">
        <v>30</v>
      </c>
      <c r="KL4">
        <v>30</v>
      </c>
      <c r="KM4">
        <v>30</v>
      </c>
      <c r="KN4">
        <v>30</v>
      </c>
      <c r="KO4">
        <v>30</v>
      </c>
      <c r="KP4">
        <v>30</v>
      </c>
      <c r="KQ4">
        <v>30</v>
      </c>
      <c r="KR4">
        <v>30</v>
      </c>
      <c r="KS4">
        <v>30</v>
      </c>
      <c r="KT4">
        <v>30</v>
      </c>
      <c r="KU4">
        <v>30</v>
      </c>
      <c r="KV4">
        <v>30</v>
      </c>
      <c r="KW4">
        <v>30</v>
      </c>
      <c r="KX4">
        <v>30</v>
      </c>
      <c r="KY4">
        <v>30</v>
      </c>
      <c r="KZ4">
        <v>30</v>
      </c>
      <c r="LA4">
        <v>30</v>
      </c>
      <c r="LB4">
        <v>30</v>
      </c>
      <c r="LC4">
        <v>30</v>
      </c>
      <c r="LD4">
        <v>30</v>
      </c>
      <c r="LE4">
        <v>30</v>
      </c>
      <c r="LF4">
        <v>30</v>
      </c>
      <c r="LG4">
        <v>30</v>
      </c>
      <c r="LH4">
        <v>30</v>
      </c>
      <c r="LI4">
        <v>30</v>
      </c>
      <c r="LJ4">
        <v>30</v>
      </c>
      <c r="LK4">
        <v>30</v>
      </c>
      <c r="LL4">
        <v>30</v>
      </c>
      <c r="LM4">
        <v>30</v>
      </c>
      <c r="LN4">
        <v>30</v>
      </c>
      <c r="LO4">
        <v>30</v>
      </c>
      <c r="LP4">
        <v>30</v>
      </c>
      <c r="LQ4">
        <v>30</v>
      </c>
      <c r="LR4">
        <v>30</v>
      </c>
      <c r="LS4">
        <v>30</v>
      </c>
      <c r="LT4">
        <v>30</v>
      </c>
      <c r="LU4">
        <v>30</v>
      </c>
      <c r="LV4">
        <v>30</v>
      </c>
      <c r="LW4">
        <v>30</v>
      </c>
      <c r="LX4">
        <v>30</v>
      </c>
      <c r="LY4">
        <v>30</v>
      </c>
      <c r="LZ4">
        <v>30</v>
      </c>
      <c r="MA4">
        <v>30</v>
      </c>
      <c r="MB4">
        <v>30</v>
      </c>
      <c r="MC4">
        <v>30</v>
      </c>
      <c r="MD4">
        <v>30</v>
      </c>
      <c r="ME4">
        <v>30</v>
      </c>
      <c r="MF4">
        <v>30</v>
      </c>
      <c r="MG4">
        <v>30</v>
      </c>
      <c r="MH4">
        <v>30</v>
      </c>
      <c r="MI4">
        <v>30</v>
      </c>
      <c r="MJ4">
        <v>30</v>
      </c>
      <c r="MK4">
        <v>30</v>
      </c>
      <c r="ML4">
        <v>30</v>
      </c>
      <c r="MM4">
        <v>30</v>
      </c>
      <c r="MN4">
        <v>30</v>
      </c>
      <c r="MO4">
        <v>30</v>
      </c>
      <c r="MP4">
        <v>30</v>
      </c>
      <c r="MQ4">
        <v>30</v>
      </c>
      <c r="MR4">
        <v>30</v>
      </c>
      <c r="MS4">
        <v>30</v>
      </c>
      <c r="MT4">
        <v>30</v>
      </c>
      <c r="MU4">
        <v>30</v>
      </c>
      <c r="MV4">
        <v>30</v>
      </c>
      <c r="MW4">
        <v>30</v>
      </c>
      <c r="MX4">
        <v>30</v>
      </c>
      <c r="MY4">
        <v>30</v>
      </c>
      <c r="MZ4">
        <v>30</v>
      </c>
      <c r="NA4">
        <v>30</v>
      </c>
      <c r="NB4">
        <v>30</v>
      </c>
      <c r="NC4">
        <v>10547</v>
      </c>
    </row>
    <row r="5" spans="1:367" x14ac:dyDescent="0.3">
      <c r="A5" t="s">
        <v>369</v>
      </c>
      <c r="B5">
        <v>10</v>
      </c>
      <c r="C5">
        <v>5</v>
      </c>
      <c r="D5">
        <v>6</v>
      </c>
      <c r="E5">
        <v>2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2</v>
      </c>
      <c r="AF5">
        <v>3</v>
      </c>
      <c r="AG5">
        <v>2</v>
      </c>
      <c r="AH5">
        <v>2</v>
      </c>
      <c r="AI5">
        <v>2</v>
      </c>
      <c r="AJ5">
        <v>1</v>
      </c>
      <c r="AK5">
        <v>0</v>
      </c>
      <c r="AL5">
        <v>2</v>
      </c>
      <c r="AM5">
        <v>2</v>
      </c>
      <c r="AN5">
        <v>3</v>
      </c>
      <c r="AO5">
        <v>3</v>
      </c>
      <c r="AP5">
        <v>4</v>
      </c>
      <c r="AQ5">
        <v>5</v>
      </c>
      <c r="AR5">
        <v>2</v>
      </c>
      <c r="AS5">
        <v>7</v>
      </c>
      <c r="AT5">
        <v>24</v>
      </c>
      <c r="AU5">
        <v>1</v>
      </c>
      <c r="AV5">
        <v>1</v>
      </c>
      <c r="AW5">
        <v>0</v>
      </c>
      <c r="AX5">
        <v>0</v>
      </c>
      <c r="AY5">
        <v>2</v>
      </c>
      <c r="AZ5">
        <v>3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5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8</v>
      </c>
      <c r="BP5">
        <v>1</v>
      </c>
      <c r="BQ5">
        <v>1</v>
      </c>
      <c r="BR5">
        <v>0</v>
      </c>
      <c r="BS5">
        <v>0</v>
      </c>
      <c r="BT5">
        <v>0</v>
      </c>
      <c r="BU5">
        <v>2</v>
      </c>
      <c r="BV5">
        <v>7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7</v>
      </c>
      <c r="CD5">
        <v>0</v>
      </c>
      <c r="CE5">
        <v>0</v>
      </c>
      <c r="CF5">
        <v>0</v>
      </c>
      <c r="CG5">
        <v>1</v>
      </c>
      <c r="CH5">
        <v>1</v>
      </c>
      <c r="CI5">
        <v>2</v>
      </c>
      <c r="CJ5">
        <v>3</v>
      </c>
      <c r="CK5">
        <v>1</v>
      </c>
      <c r="CL5">
        <v>2</v>
      </c>
      <c r="CM5">
        <v>1</v>
      </c>
      <c r="CN5">
        <v>2</v>
      </c>
      <c r="CO5">
        <v>6</v>
      </c>
      <c r="CP5">
        <v>16</v>
      </c>
      <c r="CQ5">
        <v>21</v>
      </c>
      <c r="CR5">
        <v>6</v>
      </c>
      <c r="CS5">
        <v>4</v>
      </c>
      <c r="CT5">
        <v>8</v>
      </c>
      <c r="CU5">
        <v>7</v>
      </c>
      <c r="CV5">
        <v>10</v>
      </c>
      <c r="CW5">
        <v>11</v>
      </c>
      <c r="CX5">
        <v>25</v>
      </c>
      <c r="CY5">
        <v>6</v>
      </c>
      <c r="CZ5">
        <v>3</v>
      </c>
      <c r="DA5">
        <v>4</v>
      </c>
      <c r="DB5">
        <v>9</v>
      </c>
      <c r="DC5">
        <v>24</v>
      </c>
      <c r="DD5">
        <v>25</v>
      </c>
      <c r="DE5">
        <v>25</v>
      </c>
      <c r="DF5">
        <v>15</v>
      </c>
      <c r="DG5">
        <v>16</v>
      </c>
      <c r="DH5">
        <v>18</v>
      </c>
      <c r="DI5">
        <v>14</v>
      </c>
      <c r="DJ5">
        <v>18</v>
      </c>
      <c r="DK5">
        <v>22</v>
      </c>
      <c r="DL5">
        <v>22</v>
      </c>
      <c r="DM5">
        <v>3</v>
      </c>
      <c r="DN5">
        <v>8</v>
      </c>
      <c r="DO5">
        <v>9</v>
      </c>
      <c r="DP5">
        <v>10</v>
      </c>
      <c r="DQ5">
        <v>9</v>
      </c>
      <c r="DR5">
        <v>25</v>
      </c>
      <c r="DS5">
        <v>24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15</v>
      </c>
      <c r="EA5">
        <v>1</v>
      </c>
      <c r="EB5">
        <v>1</v>
      </c>
      <c r="EC5">
        <v>1</v>
      </c>
      <c r="ED5">
        <v>2</v>
      </c>
      <c r="EE5">
        <v>21</v>
      </c>
      <c r="EF5">
        <v>25</v>
      </c>
      <c r="EG5">
        <v>22</v>
      </c>
      <c r="EH5">
        <v>1</v>
      </c>
      <c r="EI5">
        <v>3</v>
      </c>
      <c r="EJ5">
        <v>3</v>
      </c>
      <c r="EK5">
        <v>2</v>
      </c>
      <c r="EL5">
        <v>3</v>
      </c>
      <c r="EM5">
        <v>5</v>
      </c>
      <c r="EN5">
        <v>21</v>
      </c>
      <c r="EO5">
        <v>3</v>
      </c>
      <c r="EP5">
        <v>0</v>
      </c>
      <c r="EQ5">
        <v>0</v>
      </c>
      <c r="ER5">
        <v>0</v>
      </c>
      <c r="ES5">
        <v>0</v>
      </c>
      <c r="ET5">
        <v>0</v>
      </c>
      <c r="EU5">
        <v>15</v>
      </c>
      <c r="EV5">
        <v>0</v>
      </c>
      <c r="EW5">
        <v>1</v>
      </c>
      <c r="EX5">
        <v>0</v>
      </c>
      <c r="EY5">
        <v>0</v>
      </c>
      <c r="EZ5">
        <v>9</v>
      </c>
      <c r="FA5">
        <v>14</v>
      </c>
      <c r="FB5">
        <v>16</v>
      </c>
      <c r="FC5">
        <v>1</v>
      </c>
      <c r="FD5">
        <v>1</v>
      </c>
      <c r="FE5">
        <v>1</v>
      </c>
      <c r="FF5">
        <v>1</v>
      </c>
      <c r="FG5">
        <v>0</v>
      </c>
      <c r="FH5">
        <v>2</v>
      </c>
      <c r="FI5">
        <v>13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22</v>
      </c>
      <c r="FQ5">
        <v>0</v>
      </c>
      <c r="FR5">
        <v>0</v>
      </c>
      <c r="FS5">
        <v>0</v>
      </c>
      <c r="FT5">
        <v>0</v>
      </c>
      <c r="FU5">
        <v>0</v>
      </c>
      <c r="FV5">
        <v>10</v>
      </c>
      <c r="FW5">
        <v>21</v>
      </c>
      <c r="FX5">
        <v>1</v>
      </c>
      <c r="FY5">
        <v>2</v>
      </c>
      <c r="FZ5">
        <v>2</v>
      </c>
      <c r="GA5">
        <v>2</v>
      </c>
      <c r="GB5">
        <v>0</v>
      </c>
      <c r="GC5">
        <v>2</v>
      </c>
      <c r="GD5">
        <v>17</v>
      </c>
      <c r="GE5">
        <v>4</v>
      </c>
      <c r="GF5">
        <v>1</v>
      </c>
      <c r="GG5">
        <v>1</v>
      </c>
      <c r="GH5">
        <v>1</v>
      </c>
      <c r="GI5">
        <v>1</v>
      </c>
      <c r="GJ5">
        <v>2</v>
      </c>
      <c r="GK5">
        <v>5</v>
      </c>
      <c r="GL5">
        <v>0</v>
      </c>
      <c r="GM5">
        <v>0</v>
      </c>
      <c r="GN5">
        <v>0</v>
      </c>
      <c r="GO5">
        <v>0</v>
      </c>
      <c r="GP5">
        <v>0</v>
      </c>
      <c r="GQ5">
        <v>4</v>
      </c>
      <c r="GR5">
        <v>4</v>
      </c>
      <c r="GS5">
        <v>3</v>
      </c>
      <c r="GT5">
        <v>0</v>
      </c>
      <c r="GU5">
        <v>2</v>
      </c>
      <c r="GV5">
        <v>0</v>
      </c>
      <c r="GW5">
        <v>0</v>
      </c>
      <c r="GX5">
        <v>1</v>
      </c>
      <c r="GY5">
        <v>9</v>
      </c>
      <c r="GZ5">
        <v>4</v>
      </c>
      <c r="HA5">
        <v>1</v>
      </c>
      <c r="HB5">
        <v>1</v>
      </c>
      <c r="HC5">
        <v>2</v>
      </c>
      <c r="HD5">
        <v>3</v>
      </c>
      <c r="HE5">
        <v>9</v>
      </c>
      <c r="HF5">
        <v>8</v>
      </c>
      <c r="HG5">
        <v>2</v>
      </c>
      <c r="HH5">
        <v>0</v>
      </c>
      <c r="HI5">
        <v>0</v>
      </c>
      <c r="HJ5">
        <v>0</v>
      </c>
      <c r="HK5">
        <v>0</v>
      </c>
      <c r="HL5">
        <v>4</v>
      </c>
      <c r="HM5">
        <v>5</v>
      </c>
      <c r="HN5">
        <v>0</v>
      </c>
      <c r="HO5">
        <v>1</v>
      </c>
      <c r="HP5">
        <v>2</v>
      </c>
      <c r="HQ5">
        <v>2</v>
      </c>
      <c r="HR5">
        <v>2</v>
      </c>
      <c r="HS5">
        <v>2</v>
      </c>
      <c r="HT5">
        <v>11</v>
      </c>
      <c r="HU5">
        <v>2</v>
      </c>
      <c r="HV5">
        <v>1</v>
      </c>
      <c r="HW5">
        <v>0</v>
      </c>
      <c r="HX5">
        <v>0</v>
      </c>
      <c r="HY5">
        <v>5</v>
      </c>
      <c r="HZ5">
        <v>22</v>
      </c>
      <c r="IA5">
        <v>25</v>
      </c>
      <c r="IB5">
        <v>4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13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1042</v>
      </c>
    </row>
    <row r="6" spans="1:367" x14ac:dyDescent="0.3">
      <c r="A6" t="s">
        <v>370</v>
      </c>
      <c r="B6" s="1">
        <v>914.5</v>
      </c>
      <c r="C6" s="1">
        <v>436</v>
      </c>
      <c r="D6" s="1">
        <v>515</v>
      </c>
      <c r="E6" s="1">
        <v>168</v>
      </c>
      <c r="F6" s="1">
        <v>0</v>
      </c>
      <c r="G6" s="1">
        <v>0</v>
      </c>
      <c r="H6" s="1">
        <v>0</v>
      </c>
      <c r="I6" s="1">
        <v>0</v>
      </c>
      <c r="J6" s="1">
        <v>177.11</v>
      </c>
      <c r="K6" s="1">
        <v>186.9</v>
      </c>
      <c r="L6" s="1">
        <v>0</v>
      </c>
      <c r="M6" s="1">
        <v>0</v>
      </c>
      <c r="N6" s="1">
        <v>0</v>
      </c>
      <c r="O6" s="1">
        <v>88.11</v>
      </c>
      <c r="P6" s="1">
        <v>0</v>
      </c>
      <c r="Q6" s="1">
        <v>88.11</v>
      </c>
      <c r="R6" s="1">
        <v>88.11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168.21</v>
      </c>
      <c r="Z6" s="1">
        <v>0</v>
      </c>
      <c r="AA6" s="1">
        <v>0</v>
      </c>
      <c r="AB6" s="1">
        <v>58</v>
      </c>
      <c r="AC6" s="1">
        <v>58</v>
      </c>
      <c r="AD6" s="1">
        <v>58</v>
      </c>
      <c r="AE6" s="1">
        <v>117.23</v>
      </c>
      <c r="AF6" s="1">
        <v>205.34</v>
      </c>
      <c r="AG6" s="1">
        <v>117.23</v>
      </c>
      <c r="AH6" s="1">
        <v>129.1</v>
      </c>
      <c r="AI6" s="1">
        <v>129.1</v>
      </c>
      <c r="AJ6" s="1">
        <v>71.099999999999994</v>
      </c>
      <c r="AK6" s="1">
        <v>0</v>
      </c>
      <c r="AL6" s="1">
        <v>159.21</v>
      </c>
      <c r="AM6" s="1">
        <v>158</v>
      </c>
      <c r="AN6" s="1">
        <v>283.91000000000003</v>
      </c>
      <c r="AO6" s="1">
        <v>283.91000000000003</v>
      </c>
      <c r="AP6" s="1">
        <v>370.81</v>
      </c>
      <c r="AQ6" s="1">
        <v>457.71</v>
      </c>
      <c r="AR6" s="1">
        <v>173.8</v>
      </c>
      <c r="AS6" s="1">
        <v>576.57000000000005</v>
      </c>
      <c r="AT6" s="1">
        <v>1965.63</v>
      </c>
      <c r="AU6" s="1">
        <v>65.91</v>
      </c>
      <c r="AV6" s="1">
        <v>65.91</v>
      </c>
      <c r="AW6" s="1">
        <v>0</v>
      </c>
      <c r="AX6" s="1">
        <v>0</v>
      </c>
      <c r="AY6" s="1">
        <v>176.22</v>
      </c>
      <c r="AZ6" s="1">
        <v>254.43</v>
      </c>
      <c r="BA6" s="1">
        <v>97.9</v>
      </c>
      <c r="BB6" s="1">
        <v>0</v>
      </c>
      <c r="BC6" s="1">
        <v>0</v>
      </c>
      <c r="BD6" s="1">
        <v>88.11</v>
      </c>
      <c r="BE6" s="1">
        <v>97.9</v>
      </c>
      <c r="BF6" s="1">
        <v>0</v>
      </c>
      <c r="BG6" s="1">
        <v>88.11</v>
      </c>
      <c r="BH6" s="1">
        <v>447.67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249.2</v>
      </c>
      <c r="BO6" s="1">
        <v>729.8</v>
      </c>
      <c r="BP6" s="1">
        <v>75.650000000000006</v>
      </c>
      <c r="BQ6" s="1">
        <v>75.650000000000006</v>
      </c>
      <c r="BR6" s="1">
        <v>0</v>
      </c>
      <c r="BS6" s="1">
        <v>0</v>
      </c>
      <c r="BT6" s="1">
        <v>0</v>
      </c>
      <c r="BU6" s="1">
        <v>132.55000000000001</v>
      </c>
      <c r="BV6" s="1">
        <v>591.48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226.1</v>
      </c>
      <c r="CC6" s="1">
        <v>793</v>
      </c>
      <c r="CD6" s="1">
        <v>0</v>
      </c>
      <c r="CE6" s="1">
        <v>0</v>
      </c>
      <c r="CF6" s="1">
        <v>0</v>
      </c>
      <c r="CG6" s="1">
        <v>90.82</v>
      </c>
      <c r="CH6" s="1">
        <v>90.82</v>
      </c>
      <c r="CI6" s="1">
        <v>218.15</v>
      </c>
      <c r="CJ6" s="1">
        <v>366.52</v>
      </c>
      <c r="CK6" s="1">
        <v>89.69</v>
      </c>
      <c r="CL6" s="1">
        <v>185.52</v>
      </c>
      <c r="CM6" s="1">
        <v>89.69</v>
      </c>
      <c r="CN6" s="1">
        <v>197.6</v>
      </c>
      <c r="CO6" s="1">
        <v>619.42999999999995</v>
      </c>
      <c r="CP6" s="1">
        <v>1846.06</v>
      </c>
      <c r="CQ6" s="1">
        <v>2337.08</v>
      </c>
      <c r="CR6" s="1">
        <v>601.57000000000005</v>
      </c>
      <c r="CS6" s="1">
        <v>366.03</v>
      </c>
      <c r="CT6" s="1">
        <v>801.87</v>
      </c>
      <c r="CU6" s="1">
        <v>718.61</v>
      </c>
      <c r="CV6" s="1">
        <v>1021.64</v>
      </c>
      <c r="CW6" s="1">
        <v>1202.51</v>
      </c>
      <c r="CX6" s="1">
        <v>2789.99</v>
      </c>
      <c r="CY6" s="1">
        <v>607.49</v>
      </c>
      <c r="CZ6" s="1">
        <v>247.41</v>
      </c>
      <c r="DA6" s="1">
        <v>452.93</v>
      </c>
      <c r="DB6" s="1">
        <v>930.63</v>
      </c>
      <c r="DC6" s="1">
        <v>2942.78</v>
      </c>
      <c r="DD6" s="1">
        <v>2689.22</v>
      </c>
      <c r="DE6" s="1">
        <v>2608.3200000000002</v>
      </c>
      <c r="DF6" s="1">
        <v>1557.01</v>
      </c>
      <c r="DG6" s="1">
        <v>1657.14</v>
      </c>
      <c r="DH6" s="1">
        <v>1819.7</v>
      </c>
      <c r="DI6" s="1">
        <v>1450.09</v>
      </c>
      <c r="DJ6" s="1">
        <v>1856.31</v>
      </c>
      <c r="DK6" s="1">
        <v>2528.71</v>
      </c>
      <c r="DL6" s="1">
        <v>2470.17</v>
      </c>
      <c r="DM6" s="1">
        <v>265.29000000000002</v>
      </c>
      <c r="DN6" s="1">
        <v>758.59</v>
      </c>
      <c r="DO6" s="1">
        <v>866.5</v>
      </c>
      <c r="DP6" s="1">
        <v>959.12</v>
      </c>
      <c r="DQ6" s="1">
        <v>951.34</v>
      </c>
      <c r="DR6" s="1">
        <v>2869.02</v>
      </c>
      <c r="DS6" s="1">
        <v>2782.53</v>
      </c>
      <c r="DT6" s="1">
        <v>81.73</v>
      </c>
      <c r="DU6" s="1">
        <v>0</v>
      </c>
      <c r="DV6" s="1">
        <v>0</v>
      </c>
      <c r="DW6" s="1">
        <v>0</v>
      </c>
      <c r="DX6" s="1">
        <v>0</v>
      </c>
      <c r="DY6" s="1">
        <v>117.81</v>
      </c>
      <c r="DZ6" s="1">
        <v>1771.53</v>
      </c>
      <c r="EA6" s="1">
        <v>107.91</v>
      </c>
      <c r="EB6" s="1">
        <v>107.91</v>
      </c>
      <c r="EC6" s="1">
        <v>107.91</v>
      </c>
      <c r="ED6" s="1">
        <v>215.82</v>
      </c>
      <c r="EE6" s="1">
        <v>2187.25</v>
      </c>
      <c r="EF6" s="1">
        <v>2815.21</v>
      </c>
      <c r="EG6" s="1">
        <v>2507.63</v>
      </c>
      <c r="EH6" s="1">
        <v>77.86</v>
      </c>
      <c r="EI6" s="1">
        <v>293.68</v>
      </c>
      <c r="EJ6" s="1">
        <v>293.68</v>
      </c>
      <c r="EK6" s="1">
        <v>215.82</v>
      </c>
      <c r="EL6" s="1">
        <v>323.73</v>
      </c>
      <c r="EM6" s="1">
        <v>550.82000000000005</v>
      </c>
      <c r="EN6" s="1">
        <v>3043.9</v>
      </c>
      <c r="EO6" s="1">
        <v>313.92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1930.09</v>
      </c>
      <c r="EV6" s="1">
        <v>0</v>
      </c>
      <c r="EW6" s="1">
        <v>98.1</v>
      </c>
      <c r="EX6" s="1">
        <v>0</v>
      </c>
      <c r="EY6" s="1">
        <v>0</v>
      </c>
      <c r="EZ6" s="1">
        <v>896.84</v>
      </c>
      <c r="FA6" s="1">
        <v>1491.06</v>
      </c>
      <c r="FB6" s="1">
        <v>1754</v>
      </c>
      <c r="FC6" s="1">
        <v>109</v>
      </c>
      <c r="FD6" s="1">
        <v>109</v>
      </c>
      <c r="FE6" s="1">
        <v>109</v>
      </c>
      <c r="FF6" s="1">
        <v>109</v>
      </c>
      <c r="FG6" s="1">
        <v>0</v>
      </c>
      <c r="FH6" s="1">
        <v>216.1</v>
      </c>
      <c r="FI6" s="1">
        <v>1418.1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249.81</v>
      </c>
      <c r="FP6" s="1">
        <v>2784.19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1227.46</v>
      </c>
      <c r="FW6" s="1">
        <v>2537.96</v>
      </c>
      <c r="FX6" s="1">
        <v>109</v>
      </c>
      <c r="FY6" s="1">
        <v>186.86</v>
      </c>
      <c r="FZ6" s="1">
        <v>186.86</v>
      </c>
      <c r="GA6" s="1">
        <v>168.24</v>
      </c>
      <c r="GB6" s="1">
        <v>0</v>
      </c>
      <c r="GC6" s="1">
        <v>225.72</v>
      </c>
      <c r="GD6" s="1">
        <v>1964.97</v>
      </c>
      <c r="GE6" s="1">
        <v>411.84</v>
      </c>
      <c r="GF6" s="1">
        <v>98.1</v>
      </c>
      <c r="GG6" s="1">
        <v>98.1</v>
      </c>
      <c r="GH6" s="1">
        <v>98.1</v>
      </c>
      <c r="GI6" s="1">
        <v>98.1</v>
      </c>
      <c r="GJ6" s="1">
        <v>205.2</v>
      </c>
      <c r="GK6" s="1">
        <v>579.15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714</v>
      </c>
      <c r="GR6" s="1">
        <v>440.73</v>
      </c>
      <c r="GS6" s="1">
        <v>313.92</v>
      </c>
      <c r="GT6" s="1">
        <v>0</v>
      </c>
      <c r="GU6" s="1">
        <v>186.12</v>
      </c>
      <c r="GV6" s="1">
        <v>0</v>
      </c>
      <c r="GW6" s="1">
        <v>0</v>
      </c>
      <c r="GX6" s="1">
        <v>117.81</v>
      </c>
      <c r="GY6" s="1">
        <v>1021.02</v>
      </c>
      <c r="GZ6" s="1">
        <v>411.84</v>
      </c>
      <c r="HA6" s="1">
        <v>107.91</v>
      </c>
      <c r="HB6" s="1">
        <v>107.91</v>
      </c>
      <c r="HC6" s="1">
        <v>205.92</v>
      </c>
      <c r="HD6" s="1">
        <v>294.02999999999997</v>
      </c>
      <c r="HE6" s="1">
        <v>1130.22</v>
      </c>
      <c r="HF6" s="1">
        <v>962.33</v>
      </c>
      <c r="HG6" s="1">
        <v>205.92</v>
      </c>
      <c r="HH6" s="1">
        <v>0</v>
      </c>
      <c r="HI6" s="1">
        <v>0</v>
      </c>
      <c r="HJ6" s="1">
        <v>0</v>
      </c>
      <c r="HK6" s="1">
        <v>0</v>
      </c>
      <c r="HL6" s="1">
        <v>471.24</v>
      </c>
      <c r="HM6" s="1">
        <v>589.04999999999995</v>
      </c>
      <c r="HN6" s="1">
        <v>0</v>
      </c>
      <c r="HO6" s="1">
        <v>109</v>
      </c>
      <c r="HP6" s="1">
        <v>228.9</v>
      </c>
      <c r="HQ6" s="1">
        <v>228.9</v>
      </c>
      <c r="HR6" s="1">
        <v>228.9</v>
      </c>
      <c r="HS6" s="1">
        <v>249.9</v>
      </c>
      <c r="HT6" s="1">
        <v>1341.71</v>
      </c>
      <c r="HU6" s="1">
        <v>195.34</v>
      </c>
      <c r="HV6" s="1">
        <v>97.33</v>
      </c>
      <c r="HW6" s="1">
        <v>0</v>
      </c>
      <c r="HX6" s="1">
        <v>0</v>
      </c>
      <c r="HY6" s="1">
        <v>612.70000000000005</v>
      </c>
      <c r="HZ6" s="1">
        <v>2853</v>
      </c>
      <c r="IA6" s="1">
        <v>3202.1</v>
      </c>
      <c r="IB6" s="1">
        <v>515.9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130.9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1402.83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176.22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78.209999999999994</v>
      </c>
      <c r="KE6" s="1">
        <v>78.209999999999994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>
        <v>112976.28</v>
      </c>
    </row>
    <row r="7" spans="1:367" x14ac:dyDescent="0.3">
      <c r="A7" t="s">
        <v>371</v>
      </c>
      <c r="B7" s="1">
        <v>91.45</v>
      </c>
      <c r="C7" s="1">
        <v>87.2</v>
      </c>
      <c r="D7" s="1">
        <v>85.83</v>
      </c>
      <c r="E7" s="1">
        <v>84</v>
      </c>
      <c r="F7" s="1">
        <v>0</v>
      </c>
      <c r="G7" s="1">
        <v>0</v>
      </c>
      <c r="H7" s="1">
        <v>0</v>
      </c>
      <c r="I7" s="1">
        <v>0</v>
      </c>
      <c r="J7" s="1">
        <v>88.56</v>
      </c>
      <c r="K7" s="1">
        <v>93.45</v>
      </c>
      <c r="L7" s="1">
        <v>0</v>
      </c>
      <c r="M7" s="1">
        <v>0</v>
      </c>
      <c r="N7" s="1">
        <v>0</v>
      </c>
      <c r="O7" s="1">
        <v>88.11</v>
      </c>
      <c r="P7" s="1">
        <v>0</v>
      </c>
      <c r="Q7" s="1">
        <v>88.11</v>
      </c>
      <c r="R7" s="1">
        <v>88.11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84.11</v>
      </c>
      <c r="Z7" s="1">
        <v>0</v>
      </c>
      <c r="AA7" s="1">
        <v>0</v>
      </c>
      <c r="AB7" s="1">
        <v>58</v>
      </c>
      <c r="AC7" s="1">
        <v>58</v>
      </c>
      <c r="AD7" s="1">
        <v>58</v>
      </c>
      <c r="AE7" s="1">
        <v>58.62</v>
      </c>
      <c r="AF7" s="1">
        <v>68.45</v>
      </c>
      <c r="AG7" s="1">
        <v>58.62</v>
      </c>
      <c r="AH7" s="1">
        <v>64.55</v>
      </c>
      <c r="AI7" s="1">
        <v>64.55</v>
      </c>
      <c r="AJ7" s="1">
        <v>71.099999999999994</v>
      </c>
      <c r="AK7" s="1">
        <v>0</v>
      </c>
      <c r="AL7" s="1">
        <v>79.61</v>
      </c>
      <c r="AM7" s="1">
        <v>79</v>
      </c>
      <c r="AN7" s="1">
        <v>94.64</v>
      </c>
      <c r="AO7" s="1">
        <v>94.64</v>
      </c>
      <c r="AP7" s="1">
        <v>92.7</v>
      </c>
      <c r="AQ7" s="1">
        <v>91.54</v>
      </c>
      <c r="AR7" s="1">
        <v>86.9</v>
      </c>
      <c r="AS7" s="1">
        <v>82.37</v>
      </c>
      <c r="AT7" s="1">
        <v>81.900000000000006</v>
      </c>
      <c r="AU7" s="1">
        <v>65.91</v>
      </c>
      <c r="AV7" s="1">
        <v>65.91</v>
      </c>
      <c r="AW7" s="1">
        <v>0</v>
      </c>
      <c r="AX7" s="1">
        <v>0</v>
      </c>
      <c r="AY7" s="1">
        <v>88.11</v>
      </c>
      <c r="AZ7" s="1">
        <v>84.81</v>
      </c>
      <c r="BA7" s="1">
        <v>97.9</v>
      </c>
      <c r="BB7" s="1">
        <v>0</v>
      </c>
      <c r="BC7" s="1">
        <v>0</v>
      </c>
      <c r="BD7" s="1">
        <v>88.11</v>
      </c>
      <c r="BE7" s="1">
        <v>97.9</v>
      </c>
      <c r="BF7" s="1">
        <v>0</v>
      </c>
      <c r="BG7" s="1">
        <v>88.11</v>
      </c>
      <c r="BH7" s="1">
        <v>89.53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83.07</v>
      </c>
      <c r="BO7" s="1">
        <v>91.23</v>
      </c>
      <c r="BP7" s="1">
        <v>75.650000000000006</v>
      </c>
      <c r="BQ7" s="1">
        <v>75.650000000000006</v>
      </c>
      <c r="BR7" s="1">
        <v>0</v>
      </c>
      <c r="BS7" s="1">
        <v>0</v>
      </c>
      <c r="BT7" s="1">
        <v>0</v>
      </c>
      <c r="BU7" s="1">
        <v>66.28</v>
      </c>
      <c r="BV7" s="1">
        <v>84.5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113.05</v>
      </c>
      <c r="CC7" s="1">
        <v>113.29</v>
      </c>
      <c r="CD7" s="1">
        <v>0</v>
      </c>
      <c r="CE7" s="1">
        <v>0</v>
      </c>
      <c r="CF7" s="1">
        <v>0</v>
      </c>
      <c r="CG7" s="1">
        <v>90.82</v>
      </c>
      <c r="CH7" s="1">
        <v>90.82</v>
      </c>
      <c r="CI7" s="1">
        <v>109.08</v>
      </c>
      <c r="CJ7" s="1">
        <v>122.17</v>
      </c>
      <c r="CK7" s="1">
        <v>89.69</v>
      </c>
      <c r="CL7" s="1">
        <v>92.76</v>
      </c>
      <c r="CM7" s="1">
        <v>89.69</v>
      </c>
      <c r="CN7" s="1">
        <v>98.8</v>
      </c>
      <c r="CO7" s="1">
        <v>103.24</v>
      </c>
      <c r="CP7" s="1">
        <v>115.38</v>
      </c>
      <c r="CQ7" s="1">
        <v>111.29</v>
      </c>
      <c r="CR7" s="1">
        <v>100.26</v>
      </c>
      <c r="CS7" s="1">
        <v>91.51</v>
      </c>
      <c r="CT7" s="1">
        <v>100.23</v>
      </c>
      <c r="CU7" s="1">
        <v>102.66</v>
      </c>
      <c r="CV7" s="1">
        <v>102.16</v>
      </c>
      <c r="CW7" s="1">
        <v>109.32</v>
      </c>
      <c r="CX7" s="1">
        <v>111.6</v>
      </c>
      <c r="CY7" s="1">
        <v>101.25</v>
      </c>
      <c r="CZ7" s="1">
        <v>82.47</v>
      </c>
      <c r="DA7" s="1">
        <v>113.23</v>
      </c>
      <c r="DB7" s="1">
        <v>103.4</v>
      </c>
      <c r="DC7" s="1">
        <v>122.62</v>
      </c>
      <c r="DD7" s="1">
        <v>107.57</v>
      </c>
      <c r="DE7" s="1">
        <v>104.33</v>
      </c>
      <c r="DF7" s="1">
        <v>103.8</v>
      </c>
      <c r="DG7" s="1">
        <v>103.57</v>
      </c>
      <c r="DH7" s="1">
        <v>101.09</v>
      </c>
      <c r="DI7" s="1">
        <v>103.58</v>
      </c>
      <c r="DJ7" s="1">
        <v>103.13</v>
      </c>
      <c r="DK7" s="1">
        <v>114.94</v>
      </c>
      <c r="DL7" s="1">
        <v>112.28</v>
      </c>
      <c r="DM7" s="1">
        <v>88.43</v>
      </c>
      <c r="DN7" s="1">
        <v>94.82</v>
      </c>
      <c r="DO7" s="1">
        <v>96.28</v>
      </c>
      <c r="DP7" s="1">
        <v>95.91</v>
      </c>
      <c r="DQ7" s="1">
        <v>105.7</v>
      </c>
      <c r="DR7" s="1">
        <v>114.76</v>
      </c>
      <c r="DS7" s="1">
        <v>115.94</v>
      </c>
      <c r="DT7" s="1">
        <v>81.73</v>
      </c>
      <c r="DU7" s="1">
        <v>0</v>
      </c>
      <c r="DV7" s="1">
        <v>0</v>
      </c>
      <c r="DW7" s="1">
        <v>0</v>
      </c>
      <c r="DX7" s="1">
        <v>0</v>
      </c>
      <c r="DY7" s="1">
        <v>117.81</v>
      </c>
      <c r="DZ7" s="1">
        <v>118.1</v>
      </c>
      <c r="EA7" s="1">
        <v>107.91</v>
      </c>
      <c r="EB7" s="1">
        <v>107.91</v>
      </c>
      <c r="EC7" s="1">
        <v>107.91</v>
      </c>
      <c r="ED7" s="1">
        <v>107.91</v>
      </c>
      <c r="EE7" s="1">
        <v>104.15</v>
      </c>
      <c r="EF7" s="1">
        <v>112.61</v>
      </c>
      <c r="EG7" s="1">
        <v>113.98</v>
      </c>
      <c r="EH7" s="1">
        <v>77.86</v>
      </c>
      <c r="EI7" s="1">
        <v>97.89</v>
      </c>
      <c r="EJ7" s="1">
        <v>97.89</v>
      </c>
      <c r="EK7" s="1">
        <v>107.91</v>
      </c>
      <c r="EL7" s="1">
        <v>107.91</v>
      </c>
      <c r="EM7" s="1">
        <v>110.16</v>
      </c>
      <c r="EN7" s="1">
        <v>144.94999999999999</v>
      </c>
      <c r="EO7" s="1">
        <v>104.64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128.66999999999999</v>
      </c>
      <c r="EV7" s="1">
        <v>0</v>
      </c>
      <c r="EW7" s="1">
        <v>98.1</v>
      </c>
      <c r="EX7" s="1">
        <v>0</v>
      </c>
      <c r="EY7" s="1">
        <v>0</v>
      </c>
      <c r="EZ7" s="1">
        <v>99.65</v>
      </c>
      <c r="FA7" s="1">
        <v>106.5</v>
      </c>
      <c r="FB7" s="1">
        <v>109.63</v>
      </c>
      <c r="FC7" s="1">
        <v>109</v>
      </c>
      <c r="FD7" s="1">
        <v>109</v>
      </c>
      <c r="FE7" s="1">
        <v>109</v>
      </c>
      <c r="FF7" s="1">
        <v>109</v>
      </c>
      <c r="FG7" s="1">
        <v>0</v>
      </c>
      <c r="FH7" s="1">
        <v>108.05</v>
      </c>
      <c r="FI7" s="1">
        <v>109.08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124.91</v>
      </c>
      <c r="FP7" s="1">
        <v>126.55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122.75</v>
      </c>
      <c r="FW7" s="1">
        <v>120.86</v>
      </c>
      <c r="FX7" s="1">
        <v>109</v>
      </c>
      <c r="FY7" s="1">
        <v>93.43</v>
      </c>
      <c r="FZ7" s="1">
        <v>93.43</v>
      </c>
      <c r="GA7" s="1">
        <v>84.12</v>
      </c>
      <c r="GB7" s="1">
        <v>0</v>
      </c>
      <c r="GC7" s="1">
        <v>112.86</v>
      </c>
      <c r="GD7" s="1">
        <v>115.59</v>
      </c>
      <c r="GE7" s="1">
        <v>102.96</v>
      </c>
      <c r="GF7" s="1">
        <v>98.1</v>
      </c>
      <c r="GG7" s="1">
        <v>98.1</v>
      </c>
      <c r="GH7" s="1">
        <v>98.1</v>
      </c>
      <c r="GI7" s="1">
        <v>98.1</v>
      </c>
      <c r="GJ7" s="1">
        <v>102.6</v>
      </c>
      <c r="GK7" s="1">
        <v>115.83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178.5</v>
      </c>
      <c r="GR7" s="1">
        <v>110.18</v>
      </c>
      <c r="GS7" s="1">
        <v>104.64</v>
      </c>
      <c r="GT7" s="1">
        <v>0</v>
      </c>
      <c r="GU7" s="1">
        <v>93.06</v>
      </c>
      <c r="GV7" s="1">
        <v>0</v>
      </c>
      <c r="GW7" s="1">
        <v>0</v>
      </c>
      <c r="GX7" s="1">
        <v>117.81</v>
      </c>
      <c r="GY7" s="1">
        <v>113.45</v>
      </c>
      <c r="GZ7" s="1">
        <v>102.96</v>
      </c>
      <c r="HA7" s="1">
        <v>107.91</v>
      </c>
      <c r="HB7" s="1">
        <v>107.91</v>
      </c>
      <c r="HC7" s="1">
        <v>102.96</v>
      </c>
      <c r="HD7" s="1">
        <v>98.01</v>
      </c>
      <c r="HE7" s="1">
        <v>125.58</v>
      </c>
      <c r="HF7" s="1">
        <v>120.29</v>
      </c>
      <c r="HG7" s="1">
        <v>102.96</v>
      </c>
      <c r="HH7" s="1">
        <v>0</v>
      </c>
      <c r="HI7" s="1">
        <v>0</v>
      </c>
      <c r="HJ7" s="1">
        <v>0</v>
      </c>
      <c r="HK7" s="1">
        <v>0</v>
      </c>
      <c r="HL7" s="1">
        <v>117.81</v>
      </c>
      <c r="HM7" s="1">
        <v>117.81</v>
      </c>
      <c r="HN7" s="1">
        <v>0</v>
      </c>
      <c r="HO7" s="1">
        <v>109</v>
      </c>
      <c r="HP7" s="1">
        <v>114.45</v>
      </c>
      <c r="HQ7" s="1">
        <v>114.45</v>
      </c>
      <c r="HR7" s="1">
        <v>114.45</v>
      </c>
      <c r="HS7" s="1">
        <v>124.95</v>
      </c>
      <c r="HT7" s="1">
        <v>121.97</v>
      </c>
      <c r="HU7" s="1">
        <v>97.67</v>
      </c>
      <c r="HV7" s="1">
        <v>97.33</v>
      </c>
      <c r="HW7" s="1">
        <v>0</v>
      </c>
      <c r="HX7" s="1">
        <v>0</v>
      </c>
      <c r="HY7" s="1">
        <v>122.54</v>
      </c>
      <c r="HZ7" s="1">
        <v>129.68</v>
      </c>
      <c r="IA7" s="1">
        <v>128.08000000000001</v>
      </c>
      <c r="IB7" s="1">
        <v>128.97999999999999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130.9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107.91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88.11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78.209999999999994</v>
      </c>
      <c r="KE7" s="1">
        <v>78.209999999999994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>
        <v>108.42</v>
      </c>
    </row>
    <row r="8" spans="1:367" x14ac:dyDescent="0.3">
      <c r="A8" t="s">
        <v>372</v>
      </c>
      <c r="B8">
        <v>18</v>
      </c>
      <c r="C8">
        <v>8</v>
      </c>
      <c r="D8">
        <v>9</v>
      </c>
      <c r="E8">
        <v>3</v>
      </c>
      <c r="F8">
        <v>0</v>
      </c>
      <c r="G8">
        <v>0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2</v>
      </c>
      <c r="AC8">
        <v>2</v>
      </c>
      <c r="AD8">
        <v>2</v>
      </c>
      <c r="AE8">
        <v>3</v>
      </c>
      <c r="AF8">
        <v>5</v>
      </c>
      <c r="AG8">
        <v>3</v>
      </c>
      <c r="AH8">
        <v>3</v>
      </c>
      <c r="AI8">
        <v>3</v>
      </c>
      <c r="AJ8">
        <v>1</v>
      </c>
      <c r="AK8">
        <v>0</v>
      </c>
      <c r="AL8">
        <v>3</v>
      </c>
      <c r="AM8">
        <v>2</v>
      </c>
      <c r="AN8">
        <v>3</v>
      </c>
      <c r="AO8">
        <v>3</v>
      </c>
      <c r="AP8">
        <v>4</v>
      </c>
      <c r="AQ8">
        <v>5</v>
      </c>
      <c r="AR8">
        <v>2</v>
      </c>
      <c r="AS8">
        <v>12</v>
      </c>
      <c r="AT8">
        <v>43</v>
      </c>
      <c r="AU8">
        <v>2</v>
      </c>
      <c r="AV8">
        <v>2</v>
      </c>
      <c r="AW8">
        <v>0</v>
      </c>
      <c r="AX8">
        <v>0</v>
      </c>
      <c r="AY8">
        <v>4</v>
      </c>
      <c r="AZ8">
        <v>5</v>
      </c>
      <c r="BA8">
        <v>2</v>
      </c>
      <c r="BB8">
        <v>0</v>
      </c>
      <c r="BC8">
        <v>0</v>
      </c>
      <c r="BD8">
        <v>2</v>
      </c>
      <c r="BE8">
        <v>2</v>
      </c>
      <c r="BF8">
        <v>0</v>
      </c>
      <c r="BG8">
        <v>2</v>
      </c>
      <c r="BH8">
        <v>10</v>
      </c>
      <c r="BI8">
        <v>0</v>
      </c>
      <c r="BJ8">
        <v>0</v>
      </c>
      <c r="BK8">
        <v>0</v>
      </c>
      <c r="BL8">
        <v>0</v>
      </c>
      <c r="BM8">
        <v>0</v>
      </c>
      <c r="BN8">
        <v>5</v>
      </c>
      <c r="BO8">
        <v>15</v>
      </c>
      <c r="BP8">
        <v>2</v>
      </c>
      <c r="BQ8">
        <v>2</v>
      </c>
      <c r="BR8">
        <v>0</v>
      </c>
      <c r="BS8">
        <v>0</v>
      </c>
      <c r="BT8">
        <v>0</v>
      </c>
      <c r="BU8">
        <v>3</v>
      </c>
      <c r="BV8">
        <v>12</v>
      </c>
      <c r="BW8">
        <v>0</v>
      </c>
      <c r="BX8">
        <v>0</v>
      </c>
      <c r="BY8">
        <v>0</v>
      </c>
      <c r="BZ8">
        <v>0</v>
      </c>
      <c r="CA8">
        <v>0</v>
      </c>
      <c r="CB8">
        <v>3</v>
      </c>
      <c r="CC8">
        <v>9</v>
      </c>
      <c r="CD8">
        <v>0</v>
      </c>
      <c r="CE8">
        <v>0</v>
      </c>
      <c r="CF8">
        <v>0</v>
      </c>
      <c r="CG8">
        <v>2</v>
      </c>
      <c r="CH8">
        <v>2</v>
      </c>
      <c r="CI8">
        <v>4</v>
      </c>
      <c r="CJ8">
        <v>6</v>
      </c>
      <c r="CK8">
        <v>2</v>
      </c>
      <c r="CL8">
        <v>3</v>
      </c>
      <c r="CM8">
        <v>2</v>
      </c>
      <c r="CN8">
        <v>4</v>
      </c>
      <c r="CO8">
        <v>12</v>
      </c>
      <c r="CP8">
        <v>31</v>
      </c>
      <c r="CQ8">
        <v>42</v>
      </c>
      <c r="CR8">
        <v>12</v>
      </c>
      <c r="CS8">
        <v>7</v>
      </c>
      <c r="CT8">
        <v>15</v>
      </c>
      <c r="CU8">
        <v>12</v>
      </c>
      <c r="CV8">
        <v>16</v>
      </c>
      <c r="CW8">
        <v>17</v>
      </c>
      <c r="CX8">
        <v>43</v>
      </c>
      <c r="CY8">
        <v>9</v>
      </c>
      <c r="CZ8">
        <v>3</v>
      </c>
      <c r="DA8">
        <v>7</v>
      </c>
      <c r="DB8">
        <v>14</v>
      </c>
      <c r="DC8">
        <v>34</v>
      </c>
      <c r="DD8">
        <v>45</v>
      </c>
      <c r="DE8">
        <v>45</v>
      </c>
      <c r="DF8">
        <v>23</v>
      </c>
      <c r="DG8">
        <v>23</v>
      </c>
      <c r="DH8">
        <v>24</v>
      </c>
      <c r="DI8">
        <v>20</v>
      </c>
      <c r="DJ8">
        <v>25</v>
      </c>
      <c r="DK8">
        <v>37</v>
      </c>
      <c r="DL8">
        <v>40</v>
      </c>
      <c r="DM8">
        <v>4</v>
      </c>
      <c r="DN8">
        <v>12</v>
      </c>
      <c r="DO8">
        <v>14</v>
      </c>
      <c r="DP8">
        <v>15</v>
      </c>
      <c r="DQ8">
        <v>17</v>
      </c>
      <c r="DR8">
        <v>46</v>
      </c>
      <c r="DS8">
        <v>45</v>
      </c>
      <c r="DT8">
        <v>2</v>
      </c>
      <c r="DU8">
        <v>0</v>
      </c>
      <c r="DV8">
        <v>0</v>
      </c>
      <c r="DW8">
        <v>0</v>
      </c>
      <c r="DX8">
        <v>0</v>
      </c>
      <c r="DY8">
        <v>2</v>
      </c>
      <c r="DZ8">
        <v>29</v>
      </c>
      <c r="EA8">
        <v>2</v>
      </c>
      <c r="EB8">
        <v>2</v>
      </c>
      <c r="EC8">
        <v>2</v>
      </c>
      <c r="ED8">
        <v>4</v>
      </c>
      <c r="EE8">
        <v>39</v>
      </c>
      <c r="EF8">
        <v>46</v>
      </c>
      <c r="EG8">
        <v>42</v>
      </c>
      <c r="EH8">
        <v>1</v>
      </c>
      <c r="EI8">
        <v>3</v>
      </c>
      <c r="EJ8">
        <v>3</v>
      </c>
      <c r="EK8">
        <v>2</v>
      </c>
      <c r="EL8">
        <v>4</v>
      </c>
      <c r="EM8">
        <v>8</v>
      </c>
      <c r="EN8">
        <v>42</v>
      </c>
      <c r="EO8">
        <v>6</v>
      </c>
      <c r="EP8">
        <v>0</v>
      </c>
      <c r="EQ8">
        <v>0</v>
      </c>
      <c r="ER8">
        <v>0</v>
      </c>
      <c r="ES8">
        <v>0</v>
      </c>
      <c r="ET8">
        <v>0</v>
      </c>
      <c r="EU8">
        <v>27</v>
      </c>
      <c r="EV8">
        <v>0</v>
      </c>
      <c r="EW8">
        <v>2</v>
      </c>
      <c r="EX8">
        <v>0</v>
      </c>
      <c r="EY8">
        <v>0</v>
      </c>
      <c r="EZ8">
        <v>18</v>
      </c>
      <c r="FA8">
        <v>27</v>
      </c>
      <c r="FB8">
        <v>32</v>
      </c>
      <c r="FC8">
        <v>2</v>
      </c>
      <c r="FD8">
        <v>1</v>
      </c>
      <c r="FE8">
        <v>1</v>
      </c>
      <c r="FF8">
        <v>2</v>
      </c>
      <c r="FG8">
        <v>0</v>
      </c>
      <c r="FH8">
        <v>4</v>
      </c>
      <c r="FI8">
        <v>24</v>
      </c>
      <c r="FJ8">
        <v>0</v>
      </c>
      <c r="FK8">
        <v>0</v>
      </c>
      <c r="FL8">
        <v>0</v>
      </c>
      <c r="FM8">
        <v>0</v>
      </c>
      <c r="FN8">
        <v>0</v>
      </c>
      <c r="FO8">
        <v>4</v>
      </c>
      <c r="FP8">
        <v>43</v>
      </c>
      <c r="FQ8">
        <v>0</v>
      </c>
      <c r="FR8">
        <v>0</v>
      </c>
      <c r="FS8">
        <v>0</v>
      </c>
      <c r="FT8">
        <v>0</v>
      </c>
      <c r="FU8">
        <v>0</v>
      </c>
      <c r="FV8">
        <v>20</v>
      </c>
      <c r="FW8">
        <v>40</v>
      </c>
      <c r="FX8">
        <v>1</v>
      </c>
      <c r="FY8">
        <v>2</v>
      </c>
      <c r="FZ8">
        <v>2</v>
      </c>
      <c r="GA8">
        <v>3</v>
      </c>
      <c r="GB8">
        <v>0</v>
      </c>
      <c r="GC8">
        <v>3</v>
      </c>
      <c r="GD8">
        <v>29</v>
      </c>
      <c r="GE8">
        <v>5</v>
      </c>
      <c r="GF8">
        <v>2</v>
      </c>
      <c r="GG8">
        <v>2</v>
      </c>
      <c r="GH8">
        <v>2</v>
      </c>
      <c r="GI8">
        <v>2</v>
      </c>
      <c r="GJ8">
        <v>3</v>
      </c>
      <c r="GK8">
        <v>9</v>
      </c>
      <c r="GL8">
        <v>0</v>
      </c>
      <c r="GM8">
        <v>0</v>
      </c>
      <c r="GN8">
        <v>0</v>
      </c>
      <c r="GO8">
        <v>0</v>
      </c>
      <c r="GP8">
        <v>0</v>
      </c>
      <c r="GQ8">
        <v>8</v>
      </c>
      <c r="GR8">
        <v>8</v>
      </c>
      <c r="GS8">
        <v>6</v>
      </c>
      <c r="GT8">
        <v>0</v>
      </c>
      <c r="GU8">
        <v>3</v>
      </c>
      <c r="GV8">
        <v>0</v>
      </c>
      <c r="GW8">
        <v>0</v>
      </c>
      <c r="GX8">
        <v>2</v>
      </c>
      <c r="GY8">
        <v>18</v>
      </c>
      <c r="GZ8">
        <v>8</v>
      </c>
      <c r="HA8">
        <v>2</v>
      </c>
      <c r="HB8">
        <v>2</v>
      </c>
      <c r="HC8">
        <v>3</v>
      </c>
      <c r="HD8">
        <v>3</v>
      </c>
      <c r="HE8">
        <v>14</v>
      </c>
      <c r="HF8">
        <v>14</v>
      </c>
      <c r="HG8">
        <v>2</v>
      </c>
      <c r="HH8">
        <v>0</v>
      </c>
      <c r="HI8">
        <v>0</v>
      </c>
      <c r="HJ8">
        <v>0</v>
      </c>
      <c r="HK8">
        <v>0</v>
      </c>
      <c r="HL8">
        <v>8</v>
      </c>
      <c r="HM8">
        <v>9</v>
      </c>
      <c r="HN8">
        <v>0</v>
      </c>
      <c r="HO8">
        <v>2</v>
      </c>
      <c r="HP8">
        <v>4</v>
      </c>
      <c r="HQ8">
        <v>4</v>
      </c>
      <c r="HR8">
        <v>4</v>
      </c>
      <c r="HS8">
        <v>4</v>
      </c>
      <c r="HT8">
        <v>21</v>
      </c>
      <c r="HU8">
        <v>3</v>
      </c>
      <c r="HV8">
        <v>2</v>
      </c>
      <c r="HW8">
        <v>0</v>
      </c>
      <c r="HX8">
        <v>0</v>
      </c>
      <c r="HY8">
        <v>9</v>
      </c>
      <c r="HZ8">
        <v>38</v>
      </c>
      <c r="IA8">
        <v>42</v>
      </c>
      <c r="IB8">
        <v>8</v>
      </c>
      <c r="IC8">
        <v>0</v>
      </c>
      <c r="ID8">
        <v>0</v>
      </c>
      <c r="IE8">
        <v>0</v>
      </c>
      <c r="IF8">
        <v>0</v>
      </c>
      <c r="IG8">
        <v>0</v>
      </c>
      <c r="IH8">
        <v>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24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4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1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1800</v>
      </c>
    </row>
    <row r="9" spans="1:367" x14ac:dyDescent="0.3">
      <c r="A9" t="s">
        <v>373</v>
      </c>
      <c r="B9" s="1">
        <v>914.5</v>
      </c>
      <c r="C9" s="1">
        <v>436</v>
      </c>
      <c r="D9" s="1">
        <v>515</v>
      </c>
      <c r="E9" s="1">
        <v>168</v>
      </c>
      <c r="F9" s="1">
        <v>0</v>
      </c>
      <c r="G9" s="1">
        <v>0</v>
      </c>
      <c r="H9" s="1">
        <v>0</v>
      </c>
      <c r="I9" s="1">
        <v>0</v>
      </c>
      <c r="J9" s="1">
        <v>177.11</v>
      </c>
      <c r="K9" s="1">
        <v>186.9</v>
      </c>
      <c r="L9" s="1">
        <v>0</v>
      </c>
      <c r="M9" s="1">
        <v>0</v>
      </c>
      <c r="N9" s="1">
        <v>0</v>
      </c>
      <c r="O9" s="1">
        <v>88.11</v>
      </c>
      <c r="P9" s="1">
        <v>0</v>
      </c>
      <c r="Q9" s="1">
        <v>88.11</v>
      </c>
      <c r="R9" s="1">
        <v>88.11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168.21</v>
      </c>
      <c r="Z9" s="1">
        <v>0</v>
      </c>
      <c r="AA9" s="1">
        <v>0</v>
      </c>
      <c r="AB9" s="1">
        <v>58</v>
      </c>
      <c r="AC9" s="1">
        <v>58</v>
      </c>
      <c r="AD9" s="1">
        <v>58</v>
      </c>
      <c r="AE9" s="1">
        <v>117.23</v>
      </c>
      <c r="AF9" s="1">
        <v>205.34</v>
      </c>
      <c r="AG9" s="1">
        <v>117.23</v>
      </c>
      <c r="AH9" s="1">
        <v>129.1</v>
      </c>
      <c r="AI9" s="1">
        <v>129.1</v>
      </c>
      <c r="AJ9" s="1">
        <v>71.099999999999994</v>
      </c>
      <c r="AK9" s="1">
        <v>0</v>
      </c>
      <c r="AL9" s="1">
        <v>159.21</v>
      </c>
      <c r="AM9" s="1">
        <v>158</v>
      </c>
      <c r="AN9" s="1">
        <v>283.91000000000003</v>
      </c>
      <c r="AO9" s="1">
        <v>283.91000000000003</v>
      </c>
      <c r="AP9" s="1">
        <v>370.81</v>
      </c>
      <c r="AQ9" s="1">
        <v>457.71</v>
      </c>
      <c r="AR9" s="1">
        <v>173.8</v>
      </c>
      <c r="AS9" s="1">
        <v>576.57000000000005</v>
      </c>
      <c r="AT9" s="1">
        <v>1965.63</v>
      </c>
      <c r="AU9" s="1">
        <v>65.91</v>
      </c>
      <c r="AV9" s="1">
        <v>65.91</v>
      </c>
      <c r="AW9" s="1">
        <v>0</v>
      </c>
      <c r="AX9" s="1">
        <v>0</v>
      </c>
      <c r="AY9" s="1">
        <v>176.22</v>
      </c>
      <c r="AZ9" s="1">
        <v>254.43</v>
      </c>
      <c r="BA9" s="1">
        <v>97.9</v>
      </c>
      <c r="BB9" s="1">
        <v>0</v>
      </c>
      <c r="BC9" s="1">
        <v>0</v>
      </c>
      <c r="BD9" s="1">
        <v>88.11</v>
      </c>
      <c r="BE9" s="1">
        <v>97.9</v>
      </c>
      <c r="BF9" s="1">
        <v>0</v>
      </c>
      <c r="BG9" s="1">
        <v>88.11</v>
      </c>
      <c r="BH9" s="1">
        <v>447.67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249.2</v>
      </c>
      <c r="BO9" s="1">
        <v>729.8</v>
      </c>
      <c r="BP9" s="1">
        <v>75.650000000000006</v>
      </c>
      <c r="BQ9" s="1">
        <v>75.650000000000006</v>
      </c>
      <c r="BR9" s="1">
        <v>0</v>
      </c>
      <c r="BS9" s="1">
        <v>0</v>
      </c>
      <c r="BT9" s="1">
        <v>0</v>
      </c>
      <c r="BU9" s="1">
        <v>132.55000000000001</v>
      </c>
      <c r="BV9" s="1">
        <v>591.48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226.1</v>
      </c>
      <c r="CC9" s="1">
        <v>793</v>
      </c>
      <c r="CD9" s="1">
        <v>0</v>
      </c>
      <c r="CE9" s="1">
        <v>0</v>
      </c>
      <c r="CF9" s="1">
        <v>0</v>
      </c>
      <c r="CG9" s="1">
        <v>90.82</v>
      </c>
      <c r="CH9" s="1">
        <v>90.82</v>
      </c>
      <c r="CI9" s="1">
        <v>218.15</v>
      </c>
      <c r="CJ9" s="1">
        <v>366.52</v>
      </c>
      <c r="CK9" s="1">
        <v>89.69</v>
      </c>
      <c r="CL9" s="1">
        <v>185.52</v>
      </c>
      <c r="CM9" s="1">
        <v>89.69</v>
      </c>
      <c r="CN9" s="1">
        <v>197.6</v>
      </c>
      <c r="CO9" s="1">
        <v>619.42999999999995</v>
      </c>
      <c r="CP9" s="1">
        <v>1846.06</v>
      </c>
      <c r="CQ9" s="1">
        <v>2337.08</v>
      </c>
      <c r="CR9" s="1">
        <v>601.57000000000005</v>
      </c>
      <c r="CS9" s="1">
        <v>366.03</v>
      </c>
      <c r="CT9" s="1">
        <v>801.87</v>
      </c>
      <c r="CU9" s="1">
        <v>718.61</v>
      </c>
      <c r="CV9" s="1">
        <v>1021.64</v>
      </c>
      <c r="CW9" s="1">
        <v>1202.51</v>
      </c>
      <c r="CX9" s="1">
        <v>2789.99</v>
      </c>
      <c r="CY9" s="1">
        <v>607.49</v>
      </c>
      <c r="CZ9" s="1">
        <v>247.41</v>
      </c>
      <c r="DA9" s="1">
        <v>452.93</v>
      </c>
      <c r="DB9" s="1">
        <v>930.63</v>
      </c>
      <c r="DC9" s="1">
        <v>2942.78</v>
      </c>
      <c r="DD9" s="1">
        <v>2689.22</v>
      </c>
      <c r="DE9" s="1">
        <v>2608.3200000000002</v>
      </c>
      <c r="DF9" s="1">
        <v>1557.01</v>
      </c>
      <c r="DG9" s="1">
        <v>1657.14</v>
      </c>
      <c r="DH9" s="1">
        <v>1819.7</v>
      </c>
      <c r="DI9" s="1">
        <v>1450.09</v>
      </c>
      <c r="DJ9" s="1">
        <v>1856.31</v>
      </c>
      <c r="DK9" s="1">
        <v>2528.71</v>
      </c>
      <c r="DL9" s="1">
        <v>2470.17</v>
      </c>
      <c r="DM9" s="1">
        <v>265.29000000000002</v>
      </c>
      <c r="DN9" s="1">
        <v>758.59</v>
      </c>
      <c r="DO9" s="1">
        <v>866.5</v>
      </c>
      <c r="DP9" s="1">
        <v>959.12</v>
      </c>
      <c r="DQ9" s="1">
        <v>951.34</v>
      </c>
      <c r="DR9" s="1">
        <v>2869.02</v>
      </c>
      <c r="DS9" s="1">
        <v>2782.53</v>
      </c>
      <c r="DT9" s="1">
        <v>81.73</v>
      </c>
      <c r="DU9" s="1">
        <v>0</v>
      </c>
      <c r="DV9" s="1">
        <v>0</v>
      </c>
      <c r="DW9" s="1">
        <v>0</v>
      </c>
      <c r="DX9" s="1">
        <v>0</v>
      </c>
      <c r="DY9" s="1">
        <v>117.81</v>
      </c>
      <c r="DZ9" s="1">
        <v>1771.53</v>
      </c>
      <c r="EA9" s="1">
        <v>107.91</v>
      </c>
      <c r="EB9" s="1">
        <v>107.91</v>
      </c>
      <c r="EC9" s="1">
        <v>107.91</v>
      </c>
      <c r="ED9" s="1">
        <v>215.82</v>
      </c>
      <c r="EE9" s="1">
        <v>2187.25</v>
      </c>
      <c r="EF9" s="1">
        <v>2815.21</v>
      </c>
      <c r="EG9" s="1">
        <v>2507.63</v>
      </c>
      <c r="EH9" s="1">
        <v>77.86</v>
      </c>
      <c r="EI9" s="1">
        <v>293.68</v>
      </c>
      <c r="EJ9" s="1">
        <v>293.68</v>
      </c>
      <c r="EK9" s="1">
        <v>215.82</v>
      </c>
      <c r="EL9" s="1">
        <v>323.73</v>
      </c>
      <c r="EM9" s="1">
        <v>550.82000000000005</v>
      </c>
      <c r="EN9" s="1">
        <v>3043.9</v>
      </c>
      <c r="EO9" s="1">
        <v>313.92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1930.09</v>
      </c>
      <c r="EV9" s="1">
        <v>0</v>
      </c>
      <c r="EW9" s="1">
        <v>98.1</v>
      </c>
      <c r="EX9" s="1">
        <v>0</v>
      </c>
      <c r="EY9" s="1">
        <v>0</v>
      </c>
      <c r="EZ9" s="1">
        <v>896.84</v>
      </c>
      <c r="FA9" s="1">
        <v>1491.06</v>
      </c>
      <c r="FB9" s="1">
        <v>1754</v>
      </c>
      <c r="FC9" s="1">
        <v>109</v>
      </c>
      <c r="FD9" s="1">
        <v>109</v>
      </c>
      <c r="FE9" s="1">
        <v>109</v>
      </c>
      <c r="FF9" s="1">
        <v>109</v>
      </c>
      <c r="FG9" s="1">
        <v>0</v>
      </c>
      <c r="FH9" s="1">
        <v>216.1</v>
      </c>
      <c r="FI9" s="1">
        <v>1418.1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249.81</v>
      </c>
      <c r="FP9" s="1">
        <v>2784.19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1227.46</v>
      </c>
      <c r="FW9" s="1">
        <v>2537.96</v>
      </c>
      <c r="FX9" s="1">
        <v>109</v>
      </c>
      <c r="FY9" s="1">
        <v>186.86</v>
      </c>
      <c r="FZ9" s="1">
        <v>186.86</v>
      </c>
      <c r="GA9" s="1">
        <v>168.24</v>
      </c>
      <c r="GB9" s="1">
        <v>0</v>
      </c>
      <c r="GC9" s="1">
        <v>225.72</v>
      </c>
      <c r="GD9" s="1">
        <v>1964.97</v>
      </c>
      <c r="GE9" s="1">
        <v>411.84</v>
      </c>
      <c r="GF9" s="1">
        <v>98.1</v>
      </c>
      <c r="GG9" s="1">
        <v>98.1</v>
      </c>
      <c r="GH9" s="1">
        <v>98.1</v>
      </c>
      <c r="GI9" s="1">
        <v>98.1</v>
      </c>
      <c r="GJ9" s="1">
        <v>205.2</v>
      </c>
      <c r="GK9" s="1">
        <v>579.15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714</v>
      </c>
      <c r="GR9" s="1">
        <v>440.73</v>
      </c>
      <c r="GS9" s="1">
        <v>313.92</v>
      </c>
      <c r="GT9" s="1">
        <v>0</v>
      </c>
      <c r="GU9" s="1">
        <v>186.12</v>
      </c>
      <c r="GV9" s="1">
        <v>0</v>
      </c>
      <c r="GW9" s="1">
        <v>0</v>
      </c>
      <c r="GX9" s="1">
        <v>117.81</v>
      </c>
      <c r="GY9" s="1">
        <v>1021.02</v>
      </c>
      <c r="GZ9" s="1">
        <v>411.84</v>
      </c>
      <c r="HA9" s="1">
        <v>107.91</v>
      </c>
      <c r="HB9" s="1">
        <v>107.91</v>
      </c>
      <c r="HC9" s="1">
        <v>205.92</v>
      </c>
      <c r="HD9" s="1">
        <v>294.02999999999997</v>
      </c>
      <c r="HE9" s="1">
        <v>1130.22</v>
      </c>
      <c r="HF9" s="1">
        <v>962.33</v>
      </c>
      <c r="HG9" s="1">
        <v>205.92</v>
      </c>
      <c r="HH9" s="1">
        <v>0</v>
      </c>
      <c r="HI9" s="1">
        <v>0</v>
      </c>
      <c r="HJ9" s="1">
        <v>0</v>
      </c>
      <c r="HK9" s="1">
        <v>0</v>
      </c>
      <c r="HL9" s="1">
        <v>471.24</v>
      </c>
      <c r="HM9" s="1">
        <v>589.04999999999995</v>
      </c>
      <c r="HN9" s="1">
        <v>0</v>
      </c>
      <c r="HO9" s="1">
        <v>109</v>
      </c>
      <c r="HP9" s="1">
        <v>228.9</v>
      </c>
      <c r="HQ9" s="1">
        <v>228.9</v>
      </c>
      <c r="HR9" s="1">
        <v>228.9</v>
      </c>
      <c r="HS9" s="1">
        <v>249.9</v>
      </c>
      <c r="HT9" s="1">
        <v>1341.71</v>
      </c>
      <c r="HU9" s="1">
        <v>195.34</v>
      </c>
      <c r="HV9" s="1">
        <v>97.33</v>
      </c>
      <c r="HW9" s="1">
        <v>0</v>
      </c>
      <c r="HX9" s="1">
        <v>0</v>
      </c>
      <c r="HY9" s="1">
        <v>612.70000000000005</v>
      </c>
      <c r="HZ9" s="1">
        <v>2853</v>
      </c>
      <c r="IA9" s="1">
        <v>3202.1</v>
      </c>
      <c r="IB9" s="1">
        <v>515.9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130.9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1402.83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176.22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78.209999999999994</v>
      </c>
      <c r="KE9" s="1">
        <v>78.209999999999994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>
        <v>112976.28</v>
      </c>
    </row>
    <row r="10" spans="1:367" x14ac:dyDescent="0.3">
      <c r="A10" t="s">
        <v>374</v>
      </c>
      <c r="B10" s="1">
        <v>42.67</v>
      </c>
      <c r="C10" s="1">
        <v>17.57</v>
      </c>
      <c r="D10" s="1">
        <v>20.079999999999998</v>
      </c>
      <c r="E10" s="1">
        <v>5.0199999999999996</v>
      </c>
      <c r="F10" s="1">
        <v>0</v>
      </c>
      <c r="G10" s="1">
        <v>0</v>
      </c>
      <c r="H10" s="1">
        <v>0</v>
      </c>
      <c r="I10" s="1">
        <v>0</v>
      </c>
      <c r="J10" s="1">
        <v>7.53</v>
      </c>
      <c r="K10" s="1">
        <v>7.53</v>
      </c>
      <c r="L10" s="1">
        <v>0</v>
      </c>
      <c r="M10" s="1">
        <v>0</v>
      </c>
      <c r="N10" s="1">
        <v>0</v>
      </c>
      <c r="O10" s="1">
        <v>2.5099999999999998</v>
      </c>
      <c r="P10" s="1">
        <v>0</v>
      </c>
      <c r="Q10" s="1">
        <v>2.5099999999999998</v>
      </c>
      <c r="R10" s="1">
        <v>2.5099999999999998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5.0199999999999996</v>
      </c>
      <c r="Z10" s="1">
        <v>0</v>
      </c>
      <c r="AA10" s="1">
        <v>0</v>
      </c>
      <c r="AB10" s="1">
        <v>5.0199999999999996</v>
      </c>
      <c r="AC10" s="1">
        <v>5.0199999999999996</v>
      </c>
      <c r="AD10" s="1">
        <v>5.0199999999999996</v>
      </c>
      <c r="AE10" s="1">
        <v>12.76</v>
      </c>
      <c r="AF10" s="1">
        <v>10.18</v>
      </c>
      <c r="AG10" s="1">
        <v>5.0199999999999996</v>
      </c>
      <c r="AH10" s="1">
        <v>7.74</v>
      </c>
      <c r="AI10" s="1">
        <v>7.74</v>
      </c>
      <c r="AJ10" s="1">
        <v>2.58</v>
      </c>
      <c r="AK10" s="1">
        <v>0</v>
      </c>
      <c r="AL10" s="1">
        <v>7.74</v>
      </c>
      <c r="AM10" s="1">
        <v>5.16</v>
      </c>
      <c r="AN10" s="1">
        <v>7.74</v>
      </c>
      <c r="AO10" s="1">
        <v>7.74</v>
      </c>
      <c r="AP10" s="1">
        <v>10.32</v>
      </c>
      <c r="AQ10" s="1">
        <v>12.9</v>
      </c>
      <c r="AR10" s="1">
        <v>5.16</v>
      </c>
      <c r="AS10" s="1">
        <v>30.96</v>
      </c>
      <c r="AT10" s="1">
        <v>110.94</v>
      </c>
      <c r="AU10" s="1">
        <v>5.16</v>
      </c>
      <c r="AV10" s="1">
        <v>5.16</v>
      </c>
      <c r="AW10" s="1">
        <v>0</v>
      </c>
      <c r="AX10" s="1">
        <v>0</v>
      </c>
      <c r="AY10" s="1">
        <v>10.32</v>
      </c>
      <c r="AZ10" s="1">
        <v>10.32</v>
      </c>
      <c r="BA10" s="1">
        <v>5.16</v>
      </c>
      <c r="BB10" s="1">
        <v>0</v>
      </c>
      <c r="BC10" s="1">
        <v>0</v>
      </c>
      <c r="BD10" s="1">
        <v>5.16</v>
      </c>
      <c r="BE10" s="1">
        <v>5.16</v>
      </c>
      <c r="BF10" s="1">
        <v>0</v>
      </c>
      <c r="BG10" s="1">
        <v>5.16</v>
      </c>
      <c r="BH10" s="1">
        <v>25.8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12.9</v>
      </c>
      <c r="BO10" s="1">
        <v>38.700000000000003</v>
      </c>
      <c r="BP10" s="1">
        <v>5.16</v>
      </c>
      <c r="BQ10" s="1">
        <v>5.16</v>
      </c>
      <c r="BR10" s="1">
        <v>0</v>
      </c>
      <c r="BS10" s="1">
        <v>0</v>
      </c>
      <c r="BT10" s="1">
        <v>0</v>
      </c>
      <c r="BU10" s="1">
        <v>7.74</v>
      </c>
      <c r="BV10" s="1">
        <v>30.96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7.74</v>
      </c>
      <c r="CC10" s="1">
        <v>23.22</v>
      </c>
      <c r="CD10" s="1">
        <v>0</v>
      </c>
      <c r="CE10" s="1">
        <v>0</v>
      </c>
      <c r="CF10" s="1">
        <v>0</v>
      </c>
      <c r="CG10" s="1">
        <v>5.16</v>
      </c>
      <c r="CH10" s="1">
        <v>5.16</v>
      </c>
      <c r="CI10" s="1">
        <v>10.32</v>
      </c>
      <c r="CJ10" s="1">
        <v>15.48</v>
      </c>
      <c r="CK10" s="1">
        <v>5.16</v>
      </c>
      <c r="CL10" s="1">
        <v>7.74</v>
      </c>
      <c r="CM10" s="1">
        <v>5.16</v>
      </c>
      <c r="CN10" s="1">
        <v>10.32</v>
      </c>
      <c r="CO10" s="1">
        <v>30.96</v>
      </c>
      <c r="CP10" s="1">
        <v>79.98</v>
      </c>
      <c r="CQ10" s="1">
        <v>108.36</v>
      </c>
      <c r="CR10" s="1">
        <v>30.96</v>
      </c>
      <c r="CS10" s="1">
        <v>18.059999999999999</v>
      </c>
      <c r="CT10" s="1">
        <v>38.700000000000003</v>
      </c>
      <c r="CU10" s="1">
        <v>30.96</v>
      </c>
      <c r="CV10" s="1">
        <v>40.65</v>
      </c>
      <c r="CW10" s="1">
        <v>43.65</v>
      </c>
      <c r="CX10" s="1">
        <v>110.94</v>
      </c>
      <c r="CY10" s="1">
        <v>23.22</v>
      </c>
      <c r="CZ10" s="1">
        <v>7.74</v>
      </c>
      <c r="DA10" s="1">
        <v>18.059999999999999</v>
      </c>
      <c r="DB10" s="1">
        <v>36.119999999999997</v>
      </c>
      <c r="DC10" s="1">
        <v>87.72</v>
      </c>
      <c r="DD10" s="1">
        <v>110.94</v>
      </c>
      <c r="DE10" s="1">
        <v>110.94</v>
      </c>
      <c r="DF10" s="1">
        <v>59.34</v>
      </c>
      <c r="DG10" s="1">
        <v>59.34</v>
      </c>
      <c r="DH10" s="1">
        <v>61.92</v>
      </c>
      <c r="DI10" s="1">
        <v>51.6</v>
      </c>
      <c r="DJ10" s="1">
        <v>64.5</v>
      </c>
      <c r="DK10" s="1">
        <v>95.46</v>
      </c>
      <c r="DL10" s="1">
        <v>103.2</v>
      </c>
      <c r="DM10" s="1">
        <v>10.32</v>
      </c>
      <c r="DN10" s="1">
        <v>33.54</v>
      </c>
      <c r="DO10" s="1">
        <v>38.700000000000003</v>
      </c>
      <c r="DP10" s="1">
        <v>41.28</v>
      </c>
      <c r="DQ10" s="1">
        <v>43.86</v>
      </c>
      <c r="DR10" s="1">
        <v>118.68</v>
      </c>
      <c r="DS10" s="1">
        <v>115.96</v>
      </c>
      <c r="DT10" s="1">
        <v>5.16</v>
      </c>
      <c r="DU10" s="1">
        <v>0</v>
      </c>
      <c r="DV10" s="1">
        <v>0</v>
      </c>
      <c r="DW10" s="1">
        <v>0</v>
      </c>
      <c r="DX10" s="1">
        <v>0</v>
      </c>
      <c r="DY10" s="1">
        <v>5.16</v>
      </c>
      <c r="DZ10" s="1">
        <v>74.819999999999993</v>
      </c>
      <c r="EA10" s="1">
        <v>5.16</v>
      </c>
      <c r="EB10" s="1">
        <v>5.16</v>
      </c>
      <c r="EC10" s="1">
        <v>5.16</v>
      </c>
      <c r="ED10" s="1">
        <v>10.32</v>
      </c>
      <c r="EE10" s="1">
        <v>99.5</v>
      </c>
      <c r="EF10" s="1">
        <v>117.14</v>
      </c>
      <c r="EG10" s="1">
        <v>107.73</v>
      </c>
      <c r="EH10" s="1">
        <v>2.5099999999999998</v>
      </c>
      <c r="EI10" s="1">
        <v>7.74</v>
      </c>
      <c r="EJ10" s="1">
        <v>7.74</v>
      </c>
      <c r="EK10" s="1">
        <v>5.16</v>
      </c>
      <c r="EL10" s="1">
        <v>10.18</v>
      </c>
      <c r="EM10" s="1">
        <v>20.5</v>
      </c>
      <c r="EN10" s="1">
        <v>105.98</v>
      </c>
      <c r="EO10" s="1">
        <v>15.2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68.959999999999994</v>
      </c>
      <c r="EV10" s="1">
        <v>0</v>
      </c>
      <c r="EW10" s="1">
        <v>5.0199999999999996</v>
      </c>
      <c r="EX10" s="1">
        <v>0</v>
      </c>
      <c r="EY10" s="1">
        <v>0</v>
      </c>
      <c r="EZ10" s="1">
        <v>45.32</v>
      </c>
      <c r="FA10" s="1">
        <v>68.33</v>
      </c>
      <c r="FB10" s="1">
        <v>81.16</v>
      </c>
      <c r="FC10" s="1">
        <v>5.0199999999999996</v>
      </c>
      <c r="FD10" s="1">
        <v>2.5099999999999998</v>
      </c>
      <c r="FE10" s="1">
        <v>2.5099999999999998</v>
      </c>
      <c r="FF10" s="1">
        <v>5.16</v>
      </c>
      <c r="FG10" s="1">
        <v>0</v>
      </c>
      <c r="FH10" s="1">
        <v>10.18</v>
      </c>
      <c r="FI10" s="1">
        <v>61.36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10.039999999999999</v>
      </c>
      <c r="FP10" s="1">
        <v>109.4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50.9</v>
      </c>
      <c r="FW10" s="1">
        <v>102.01</v>
      </c>
      <c r="FX10" s="1">
        <v>2.5099999999999998</v>
      </c>
      <c r="FY10" s="1">
        <v>5.09</v>
      </c>
      <c r="FZ10" s="1">
        <v>5.09</v>
      </c>
      <c r="GA10" s="1">
        <v>7.53</v>
      </c>
      <c r="GB10" s="1">
        <v>0</v>
      </c>
      <c r="GC10" s="1">
        <v>7.67</v>
      </c>
      <c r="GD10" s="1">
        <v>73.63</v>
      </c>
      <c r="GE10" s="1">
        <v>12.83</v>
      </c>
      <c r="GF10" s="1">
        <v>5.0199999999999996</v>
      </c>
      <c r="GG10" s="1">
        <v>5.0199999999999996</v>
      </c>
      <c r="GH10" s="1">
        <v>5.0199999999999996</v>
      </c>
      <c r="GI10" s="1">
        <v>5.0199999999999996</v>
      </c>
      <c r="GJ10" s="1">
        <v>7.74</v>
      </c>
      <c r="GK10" s="1">
        <v>22.73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20.5</v>
      </c>
      <c r="GR10" s="1">
        <v>20.22</v>
      </c>
      <c r="GS10" s="1">
        <v>15.2</v>
      </c>
      <c r="GT10" s="1">
        <v>0</v>
      </c>
      <c r="GU10" s="1">
        <v>7.53</v>
      </c>
      <c r="GV10" s="1">
        <v>0</v>
      </c>
      <c r="GW10" s="1">
        <v>0</v>
      </c>
      <c r="GX10" s="1">
        <v>5.16</v>
      </c>
      <c r="GY10" s="1">
        <v>46.02</v>
      </c>
      <c r="GZ10" s="1">
        <v>20.36</v>
      </c>
      <c r="HA10" s="1">
        <v>5.16</v>
      </c>
      <c r="HB10" s="1">
        <v>5.16</v>
      </c>
      <c r="HC10" s="1">
        <v>7.74</v>
      </c>
      <c r="HD10" s="1">
        <v>7.6</v>
      </c>
      <c r="HE10" s="1">
        <v>35.42</v>
      </c>
      <c r="HF10" s="1">
        <v>35.42</v>
      </c>
      <c r="HG10" s="1">
        <v>5.16</v>
      </c>
      <c r="HH10" s="1">
        <v>0</v>
      </c>
      <c r="HI10" s="1">
        <v>0</v>
      </c>
      <c r="HJ10" s="1">
        <v>0</v>
      </c>
      <c r="HK10" s="1">
        <v>0</v>
      </c>
      <c r="HL10" s="1">
        <v>20.64</v>
      </c>
      <c r="HM10" s="1">
        <v>23.22</v>
      </c>
      <c r="HN10" s="1">
        <v>0</v>
      </c>
      <c r="HO10" s="1">
        <v>5.0199999999999996</v>
      </c>
      <c r="HP10" s="1">
        <v>10.18</v>
      </c>
      <c r="HQ10" s="1">
        <v>10.18</v>
      </c>
      <c r="HR10" s="1">
        <v>10.18</v>
      </c>
      <c r="HS10" s="1">
        <v>10.039999999999999</v>
      </c>
      <c r="HT10" s="1">
        <v>52.92</v>
      </c>
      <c r="HU10" s="1">
        <v>7.74</v>
      </c>
      <c r="HV10" s="1">
        <v>5.16</v>
      </c>
      <c r="HW10" s="1">
        <v>0</v>
      </c>
      <c r="HX10" s="1">
        <v>0</v>
      </c>
      <c r="HY10" s="1">
        <v>22.59</v>
      </c>
      <c r="HZ10" s="1">
        <v>95.45</v>
      </c>
      <c r="IA10" s="1">
        <v>105.56</v>
      </c>
      <c r="IB10" s="1">
        <v>20.22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5.16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60.8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10.18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2.58</v>
      </c>
      <c r="KE10" s="1">
        <v>2.58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>
        <v>4591.9799999999996</v>
      </c>
    </row>
    <row r="11" spans="1:367" x14ac:dyDescent="0.3">
      <c r="A11" t="s">
        <v>373</v>
      </c>
      <c r="B11" s="1">
        <v>957.17</v>
      </c>
      <c r="C11" s="1">
        <v>453.57</v>
      </c>
      <c r="D11" s="1">
        <v>535.08000000000004</v>
      </c>
      <c r="E11" s="1">
        <v>173.02</v>
      </c>
      <c r="F11" s="1">
        <v>0</v>
      </c>
      <c r="G11" s="1">
        <v>0</v>
      </c>
      <c r="H11" s="1">
        <v>0</v>
      </c>
      <c r="I11" s="1">
        <v>0</v>
      </c>
      <c r="J11" s="1">
        <v>184.64</v>
      </c>
      <c r="K11" s="1">
        <v>194.43</v>
      </c>
      <c r="L11" s="1">
        <v>0</v>
      </c>
      <c r="M11" s="1">
        <v>0</v>
      </c>
      <c r="N11" s="1">
        <v>0</v>
      </c>
      <c r="O11" s="1">
        <v>90.62</v>
      </c>
      <c r="P11" s="1">
        <v>0</v>
      </c>
      <c r="Q11" s="1">
        <v>90.62</v>
      </c>
      <c r="R11" s="1">
        <v>90.62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173.23</v>
      </c>
      <c r="Z11" s="1">
        <v>0</v>
      </c>
      <c r="AA11" s="1">
        <v>0</v>
      </c>
      <c r="AB11" s="1">
        <v>63.02</v>
      </c>
      <c r="AC11" s="1">
        <v>63.02</v>
      </c>
      <c r="AD11" s="1">
        <v>63.02</v>
      </c>
      <c r="AE11" s="1">
        <v>129.99</v>
      </c>
      <c r="AF11" s="1">
        <v>215.52</v>
      </c>
      <c r="AG11" s="1">
        <v>122.25</v>
      </c>
      <c r="AH11" s="1">
        <v>249.91</v>
      </c>
      <c r="AI11" s="1">
        <v>136.84</v>
      </c>
      <c r="AJ11" s="1">
        <v>73.680000000000007</v>
      </c>
      <c r="AK11" s="1">
        <v>0</v>
      </c>
      <c r="AL11" s="1">
        <v>166.95</v>
      </c>
      <c r="AM11" s="1">
        <v>163.16</v>
      </c>
      <c r="AN11" s="1">
        <v>291.64999999999998</v>
      </c>
      <c r="AO11" s="1">
        <v>291.64999999999998</v>
      </c>
      <c r="AP11" s="1">
        <v>381.13</v>
      </c>
      <c r="AQ11" s="1">
        <v>470.61</v>
      </c>
      <c r="AR11" s="1">
        <v>178.96</v>
      </c>
      <c r="AS11" s="1">
        <v>607.53</v>
      </c>
      <c r="AT11" s="1">
        <v>2076.5700000000002</v>
      </c>
      <c r="AU11" s="1">
        <v>257.61</v>
      </c>
      <c r="AV11" s="1">
        <v>71.069999999999993</v>
      </c>
      <c r="AW11" s="1">
        <v>0</v>
      </c>
      <c r="AX11" s="1">
        <v>0</v>
      </c>
      <c r="AY11" s="1">
        <v>186.54</v>
      </c>
      <c r="AZ11" s="1">
        <v>264.75</v>
      </c>
      <c r="BA11" s="1">
        <v>103.06</v>
      </c>
      <c r="BB11" s="1">
        <v>0</v>
      </c>
      <c r="BC11" s="1">
        <v>0</v>
      </c>
      <c r="BD11" s="1">
        <v>93.27</v>
      </c>
      <c r="BE11" s="1">
        <v>103.06</v>
      </c>
      <c r="BF11" s="1">
        <v>0</v>
      </c>
      <c r="BG11" s="1">
        <v>93.27</v>
      </c>
      <c r="BH11" s="1">
        <v>473.47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262.10000000000002</v>
      </c>
      <c r="BO11" s="1">
        <v>768.5</v>
      </c>
      <c r="BP11" s="1">
        <v>80.81</v>
      </c>
      <c r="BQ11" s="1">
        <v>80.81</v>
      </c>
      <c r="BR11" s="1">
        <v>0</v>
      </c>
      <c r="BS11" s="1">
        <v>0</v>
      </c>
      <c r="BT11" s="1">
        <v>0</v>
      </c>
      <c r="BU11" s="1">
        <v>140.29</v>
      </c>
      <c r="BV11" s="1">
        <v>622.44000000000005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233.84</v>
      </c>
      <c r="CC11" s="1">
        <v>816.22</v>
      </c>
      <c r="CD11" s="1">
        <v>0</v>
      </c>
      <c r="CE11" s="1">
        <v>0</v>
      </c>
      <c r="CF11" s="1">
        <v>0</v>
      </c>
      <c r="CG11" s="1">
        <v>95.98</v>
      </c>
      <c r="CH11" s="1">
        <v>95.98</v>
      </c>
      <c r="CI11" s="1">
        <v>228.47</v>
      </c>
      <c r="CJ11" s="1">
        <v>382</v>
      </c>
      <c r="CK11" s="1">
        <v>94.85</v>
      </c>
      <c r="CL11" s="1">
        <v>193.26</v>
      </c>
      <c r="CM11" s="1">
        <v>94.85</v>
      </c>
      <c r="CN11" s="1">
        <v>207.92</v>
      </c>
      <c r="CO11" s="1">
        <v>650.39</v>
      </c>
      <c r="CP11" s="1">
        <v>1926.04</v>
      </c>
      <c r="CQ11" s="1">
        <v>2445.44</v>
      </c>
      <c r="CR11" s="1">
        <v>632.53</v>
      </c>
      <c r="CS11" s="1">
        <v>384.09</v>
      </c>
      <c r="CT11" s="1">
        <v>840.57</v>
      </c>
      <c r="CU11" s="1">
        <v>749.57</v>
      </c>
      <c r="CV11" s="1">
        <v>1062.29</v>
      </c>
      <c r="CW11" s="1">
        <v>1246.1600000000001</v>
      </c>
      <c r="CX11" s="1">
        <v>2900.93</v>
      </c>
      <c r="CY11" s="1">
        <v>630.71</v>
      </c>
      <c r="CZ11" s="1">
        <v>255.15</v>
      </c>
      <c r="DA11" s="1">
        <v>470.99</v>
      </c>
      <c r="DB11" s="1">
        <v>966.75</v>
      </c>
      <c r="DC11" s="1">
        <v>3030.5</v>
      </c>
      <c r="DD11" s="1">
        <v>2800.16</v>
      </c>
      <c r="DE11" s="1">
        <v>2719.26</v>
      </c>
      <c r="DF11" s="1">
        <v>1616.35</v>
      </c>
      <c r="DG11" s="1">
        <v>1716.48</v>
      </c>
      <c r="DH11" s="1">
        <v>1881.62</v>
      </c>
      <c r="DI11" s="1">
        <v>1501.69</v>
      </c>
      <c r="DJ11" s="1">
        <v>1920.81</v>
      </c>
      <c r="DK11" s="1">
        <v>2624.17</v>
      </c>
      <c r="DL11" s="1">
        <v>2573.37</v>
      </c>
      <c r="DM11" s="1">
        <v>275.61</v>
      </c>
      <c r="DN11" s="1">
        <v>792.13</v>
      </c>
      <c r="DO11" s="1">
        <v>905.2</v>
      </c>
      <c r="DP11" s="1">
        <v>1000.4</v>
      </c>
      <c r="DQ11" s="1">
        <v>995.2</v>
      </c>
      <c r="DR11" s="1">
        <v>2987.7</v>
      </c>
      <c r="DS11" s="1">
        <v>2898.49</v>
      </c>
      <c r="DT11" s="1">
        <v>86.89</v>
      </c>
      <c r="DU11" s="1">
        <v>0</v>
      </c>
      <c r="DV11" s="1">
        <v>0</v>
      </c>
      <c r="DW11" s="1">
        <v>0</v>
      </c>
      <c r="DX11" s="1">
        <v>0</v>
      </c>
      <c r="DY11" s="1">
        <v>122.97</v>
      </c>
      <c r="DZ11" s="1">
        <v>1846.35</v>
      </c>
      <c r="EA11" s="1">
        <v>113.07</v>
      </c>
      <c r="EB11" s="1">
        <v>113.07</v>
      </c>
      <c r="EC11" s="1">
        <v>113.07</v>
      </c>
      <c r="ED11" s="1">
        <v>226.14</v>
      </c>
      <c r="EE11" s="1">
        <v>2286.75</v>
      </c>
      <c r="EF11" s="1">
        <v>2932.35</v>
      </c>
      <c r="EG11" s="1">
        <v>2615.36</v>
      </c>
      <c r="EH11" s="1">
        <v>80.37</v>
      </c>
      <c r="EI11" s="1">
        <v>301.42</v>
      </c>
      <c r="EJ11" s="1">
        <v>301.42</v>
      </c>
      <c r="EK11" s="1">
        <v>220.98</v>
      </c>
      <c r="EL11" s="1">
        <v>333.91</v>
      </c>
      <c r="EM11" s="1">
        <v>571.32000000000005</v>
      </c>
      <c r="EN11" s="1">
        <v>3149.88</v>
      </c>
      <c r="EO11" s="1">
        <v>329.12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1999.05</v>
      </c>
      <c r="EV11" s="1">
        <v>0</v>
      </c>
      <c r="EW11" s="1">
        <v>103.12</v>
      </c>
      <c r="EX11" s="1">
        <v>0</v>
      </c>
      <c r="EY11" s="1">
        <v>0</v>
      </c>
      <c r="EZ11" s="1">
        <v>942.16</v>
      </c>
      <c r="FA11" s="1">
        <v>1559.39</v>
      </c>
      <c r="FB11" s="1">
        <v>1835.16</v>
      </c>
      <c r="FC11" s="1">
        <v>114.02</v>
      </c>
      <c r="FD11" s="1">
        <v>111.51</v>
      </c>
      <c r="FE11" s="1">
        <v>111.51</v>
      </c>
      <c r="FF11" s="1">
        <v>114.16</v>
      </c>
      <c r="FG11" s="1">
        <v>0</v>
      </c>
      <c r="FH11" s="1">
        <v>226.28</v>
      </c>
      <c r="FI11" s="1">
        <v>1479.46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259.85000000000002</v>
      </c>
      <c r="FP11" s="1">
        <v>2893.59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1278.3599999999999</v>
      </c>
      <c r="FW11" s="1">
        <v>2639.97</v>
      </c>
      <c r="FX11" s="1">
        <v>111.51</v>
      </c>
      <c r="FY11" s="1">
        <v>191.95</v>
      </c>
      <c r="FZ11" s="1">
        <v>191.95</v>
      </c>
      <c r="GA11" s="1">
        <v>175.77</v>
      </c>
      <c r="GB11" s="1">
        <v>0</v>
      </c>
      <c r="GC11" s="1">
        <v>233.39</v>
      </c>
      <c r="GD11" s="1">
        <v>2038.6</v>
      </c>
      <c r="GE11" s="1">
        <v>424.67</v>
      </c>
      <c r="GF11" s="1">
        <v>103.12</v>
      </c>
      <c r="GG11" s="1">
        <v>103.12</v>
      </c>
      <c r="GH11" s="1">
        <v>103.12</v>
      </c>
      <c r="GI11" s="1">
        <v>103.12</v>
      </c>
      <c r="GJ11" s="1">
        <v>212.94</v>
      </c>
      <c r="GK11" s="1">
        <v>601.88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734.5</v>
      </c>
      <c r="GR11" s="1">
        <v>460.95</v>
      </c>
      <c r="GS11" s="1">
        <v>329.12</v>
      </c>
      <c r="GT11" s="1">
        <v>0</v>
      </c>
      <c r="GU11" s="1">
        <v>193.65</v>
      </c>
      <c r="GV11" s="1">
        <v>0</v>
      </c>
      <c r="GW11" s="1">
        <v>0</v>
      </c>
      <c r="GX11" s="1">
        <v>122.97</v>
      </c>
      <c r="GY11" s="1">
        <v>1067.04</v>
      </c>
      <c r="GZ11" s="1">
        <v>432.2</v>
      </c>
      <c r="HA11" s="1">
        <v>113.07</v>
      </c>
      <c r="HB11" s="1">
        <v>113.07</v>
      </c>
      <c r="HC11" s="1">
        <v>213.66</v>
      </c>
      <c r="HD11" s="1">
        <v>301.63</v>
      </c>
      <c r="HE11" s="1">
        <v>1165.6400000000001</v>
      </c>
      <c r="HF11" s="1">
        <v>997.75</v>
      </c>
      <c r="HG11" s="1">
        <v>211.08</v>
      </c>
      <c r="HH11" s="1">
        <v>0</v>
      </c>
      <c r="HI11" s="1">
        <v>0</v>
      </c>
      <c r="HJ11" s="1">
        <v>0</v>
      </c>
      <c r="HK11" s="1">
        <v>0</v>
      </c>
      <c r="HL11" s="1">
        <v>491.88</v>
      </c>
      <c r="HM11" s="1">
        <v>612.27</v>
      </c>
      <c r="HN11" s="1">
        <v>0</v>
      </c>
      <c r="HO11" s="1">
        <v>114.02</v>
      </c>
      <c r="HP11" s="1">
        <v>239.08</v>
      </c>
      <c r="HQ11" s="1">
        <v>239.08</v>
      </c>
      <c r="HR11" s="1">
        <v>239.08</v>
      </c>
      <c r="HS11" s="1">
        <v>259.94</v>
      </c>
      <c r="HT11" s="1">
        <v>1394.63</v>
      </c>
      <c r="HU11" s="1">
        <v>203.08</v>
      </c>
      <c r="HV11" s="1">
        <v>102.49</v>
      </c>
      <c r="HW11" s="1">
        <v>0</v>
      </c>
      <c r="HX11" s="1">
        <v>0</v>
      </c>
      <c r="HY11" s="1">
        <v>635.29</v>
      </c>
      <c r="HZ11" s="1">
        <v>2948.45</v>
      </c>
      <c r="IA11" s="1">
        <v>3307.66</v>
      </c>
      <c r="IB11" s="1">
        <v>536.12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136.06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1463.63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186.4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80.790000000000006</v>
      </c>
      <c r="KE11" s="1">
        <v>80.790000000000006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>
        <v>117867.87</v>
      </c>
    </row>
    <row r="12" spans="1:367" x14ac:dyDescent="0.3">
      <c r="A12" t="s">
        <v>375</v>
      </c>
      <c r="B12" s="1">
        <v>1002.17</v>
      </c>
      <c r="C12" s="1">
        <v>483.57</v>
      </c>
      <c r="D12" s="1">
        <v>535.08000000000004</v>
      </c>
      <c r="E12" s="1">
        <v>173.02</v>
      </c>
      <c r="F12" s="1">
        <v>0</v>
      </c>
      <c r="G12" s="1">
        <v>0</v>
      </c>
      <c r="H12" s="1">
        <v>0</v>
      </c>
      <c r="I12" s="1">
        <v>0</v>
      </c>
      <c r="J12" s="1">
        <v>214.64</v>
      </c>
      <c r="K12" s="1">
        <v>209.43</v>
      </c>
      <c r="L12" s="1">
        <v>0</v>
      </c>
      <c r="M12" s="1">
        <v>0</v>
      </c>
      <c r="N12" s="1">
        <v>0</v>
      </c>
      <c r="O12" s="1">
        <v>105.62</v>
      </c>
      <c r="P12" s="1">
        <v>0</v>
      </c>
      <c r="Q12" s="1">
        <v>90.62</v>
      </c>
      <c r="R12" s="1">
        <v>90.62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173.23</v>
      </c>
      <c r="Z12" s="1">
        <v>0</v>
      </c>
      <c r="AA12" s="1">
        <v>0</v>
      </c>
      <c r="AB12" s="1">
        <v>63.02</v>
      </c>
      <c r="AC12" s="1">
        <v>63.02</v>
      </c>
      <c r="AD12" s="1">
        <v>63.02</v>
      </c>
      <c r="AE12" s="1">
        <v>129.99</v>
      </c>
      <c r="AF12" s="1">
        <v>230.52</v>
      </c>
      <c r="AG12" s="1">
        <v>122.25</v>
      </c>
      <c r="AH12" s="1">
        <v>264.91000000000003</v>
      </c>
      <c r="AI12" s="1">
        <v>136.84</v>
      </c>
      <c r="AJ12" s="1">
        <v>73.680000000000007</v>
      </c>
      <c r="AK12" s="1">
        <v>0</v>
      </c>
      <c r="AL12" s="1">
        <v>196.95</v>
      </c>
      <c r="AM12" s="1">
        <v>178.16</v>
      </c>
      <c r="AN12" s="1">
        <v>411.65</v>
      </c>
      <c r="AO12" s="1">
        <v>291.64999999999998</v>
      </c>
      <c r="AP12" s="1">
        <v>381.13</v>
      </c>
      <c r="AQ12" s="1">
        <v>500.61</v>
      </c>
      <c r="AR12" s="1">
        <v>178.96</v>
      </c>
      <c r="AS12" s="1">
        <v>757.53</v>
      </c>
      <c r="AT12" s="1">
        <v>2316.5700000000002</v>
      </c>
      <c r="AU12" s="1">
        <v>257.61</v>
      </c>
      <c r="AV12" s="1">
        <v>71.069999999999993</v>
      </c>
      <c r="AW12" s="1">
        <v>0</v>
      </c>
      <c r="AX12" s="1">
        <v>0</v>
      </c>
      <c r="AY12" s="1">
        <v>186.54</v>
      </c>
      <c r="AZ12" s="1">
        <v>294.75</v>
      </c>
      <c r="BA12" s="1">
        <v>118.06</v>
      </c>
      <c r="BB12" s="1">
        <v>0</v>
      </c>
      <c r="BC12" s="1">
        <v>0</v>
      </c>
      <c r="BD12" s="1">
        <v>123.27</v>
      </c>
      <c r="BE12" s="1">
        <v>103.06</v>
      </c>
      <c r="BF12" s="1">
        <v>0</v>
      </c>
      <c r="BG12" s="1">
        <v>93.27</v>
      </c>
      <c r="BH12" s="1">
        <v>473.47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262.10000000000002</v>
      </c>
      <c r="BO12" s="1">
        <v>768.5</v>
      </c>
      <c r="BP12" s="1">
        <v>80.81</v>
      </c>
      <c r="BQ12" s="1">
        <v>80.81</v>
      </c>
      <c r="BR12" s="1">
        <v>0</v>
      </c>
      <c r="BS12" s="1">
        <v>0</v>
      </c>
      <c r="BT12" s="1">
        <v>0</v>
      </c>
      <c r="BU12" s="1">
        <v>140.29</v>
      </c>
      <c r="BV12" s="1">
        <v>622.44000000000005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233.84</v>
      </c>
      <c r="CC12" s="1">
        <v>816.22</v>
      </c>
      <c r="CD12" s="1">
        <v>0</v>
      </c>
      <c r="CE12" s="1">
        <v>0</v>
      </c>
      <c r="CF12" s="1">
        <v>0</v>
      </c>
      <c r="CG12" s="1">
        <v>95.98</v>
      </c>
      <c r="CH12" s="1">
        <v>95.98</v>
      </c>
      <c r="CI12" s="1">
        <v>228.47</v>
      </c>
      <c r="CJ12" s="1">
        <v>382</v>
      </c>
      <c r="CK12" s="1">
        <v>94.85</v>
      </c>
      <c r="CL12" s="1">
        <v>193.26</v>
      </c>
      <c r="CM12" s="1">
        <v>94.85</v>
      </c>
      <c r="CN12" s="1">
        <v>207.92</v>
      </c>
      <c r="CO12" s="1">
        <v>650.39</v>
      </c>
      <c r="CP12" s="1">
        <v>1926.04</v>
      </c>
      <c r="CQ12" s="1">
        <v>2445.44</v>
      </c>
      <c r="CR12" s="1">
        <v>632.53</v>
      </c>
      <c r="CS12" s="1">
        <v>384.09</v>
      </c>
      <c r="CT12" s="1">
        <v>840.57</v>
      </c>
      <c r="CU12" s="1">
        <v>749.57</v>
      </c>
      <c r="CV12" s="1">
        <v>1062.29</v>
      </c>
      <c r="CW12" s="1">
        <v>1246.1600000000001</v>
      </c>
      <c r="CX12" s="1">
        <v>2900.93</v>
      </c>
      <c r="CY12" s="1">
        <v>630.71</v>
      </c>
      <c r="CZ12" s="1">
        <v>255.15</v>
      </c>
      <c r="DA12" s="1">
        <v>470.99</v>
      </c>
      <c r="DB12" s="1">
        <v>966.75</v>
      </c>
      <c r="DC12" s="1">
        <v>3030.5</v>
      </c>
      <c r="DD12" s="1">
        <v>2800.16</v>
      </c>
      <c r="DE12" s="1">
        <v>2719.26</v>
      </c>
      <c r="DF12" s="1">
        <v>1616.35</v>
      </c>
      <c r="DG12" s="1">
        <v>1716.48</v>
      </c>
      <c r="DH12" s="1">
        <v>1881.62</v>
      </c>
      <c r="DI12" s="1">
        <v>1501.69</v>
      </c>
      <c r="DJ12" s="1">
        <v>1920.81</v>
      </c>
      <c r="DK12" s="1">
        <v>2624.17</v>
      </c>
      <c r="DL12" s="1">
        <v>2573.37</v>
      </c>
      <c r="DM12" s="1">
        <v>275.61</v>
      </c>
      <c r="DN12" s="1">
        <v>792.13</v>
      </c>
      <c r="DO12" s="1">
        <v>905.2</v>
      </c>
      <c r="DP12" s="1">
        <v>1000.4</v>
      </c>
      <c r="DQ12" s="1">
        <v>995.2</v>
      </c>
      <c r="DR12" s="1">
        <v>2987.7</v>
      </c>
      <c r="DS12" s="1">
        <v>2898.49</v>
      </c>
      <c r="DT12" s="1">
        <v>86.89</v>
      </c>
      <c r="DU12" s="1">
        <v>0</v>
      </c>
      <c r="DV12" s="1">
        <v>0</v>
      </c>
      <c r="DW12" s="1">
        <v>0</v>
      </c>
      <c r="DX12" s="1">
        <v>0</v>
      </c>
      <c r="DY12" s="1">
        <v>122.97</v>
      </c>
      <c r="DZ12" s="1">
        <v>1846.35</v>
      </c>
      <c r="EA12" s="1">
        <v>113.07</v>
      </c>
      <c r="EB12" s="1">
        <v>113.07</v>
      </c>
      <c r="EC12" s="1">
        <v>113.07</v>
      </c>
      <c r="ED12" s="1">
        <v>226.14</v>
      </c>
      <c r="EE12" s="1">
        <v>2286.75</v>
      </c>
      <c r="EF12" s="1">
        <v>2932.35</v>
      </c>
      <c r="EG12" s="1">
        <v>2615.36</v>
      </c>
      <c r="EH12" s="1">
        <v>80.37</v>
      </c>
      <c r="EI12" s="1">
        <v>301.42</v>
      </c>
      <c r="EJ12" s="1">
        <v>301.42</v>
      </c>
      <c r="EK12" s="1">
        <v>220.98</v>
      </c>
      <c r="EL12" s="1">
        <v>333.91</v>
      </c>
      <c r="EM12" s="1">
        <v>571.32000000000005</v>
      </c>
      <c r="EN12" s="1">
        <v>3149.88</v>
      </c>
      <c r="EO12" s="1">
        <v>329.12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1999.05</v>
      </c>
      <c r="EV12" s="1">
        <v>0</v>
      </c>
      <c r="EW12" s="1">
        <v>103.12</v>
      </c>
      <c r="EX12" s="1">
        <v>0</v>
      </c>
      <c r="EY12" s="1">
        <v>0</v>
      </c>
      <c r="EZ12" s="1">
        <v>942.16</v>
      </c>
      <c r="FA12" s="1">
        <v>1559.39</v>
      </c>
      <c r="FB12" s="1">
        <v>1835.16</v>
      </c>
      <c r="FC12" s="1">
        <v>114.02</v>
      </c>
      <c r="FD12" s="1">
        <v>111.51</v>
      </c>
      <c r="FE12" s="1">
        <v>111.51</v>
      </c>
      <c r="FF12" s="1">
        <v>114.16</v>
      </c>
      <c r="FG12" s="1">
        <v>0</v>
      </c>
      <c r="FH12" s="1">
        <v>226.28</v>
      </c>
      <c r="FI12" s="1">
        <v>1479.46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259.85000000000002</v>
      </c>
      <c r="FP12" s="1">
        <v>2893.59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1278.3599999999999</v>
      </c>
      <c r="FW12" s="1">
        <v>2639.97</v>
      </c>
      <c r="FX12" s="1">
        <v>111.51</v>
      </c>
      <c r="FY12" s="1">
        <v>191.95</v>
      </c>
      <c r="FZ12" s="1">
        <v>191.95</v>
      </c>
      <c r="GA12" s="1">
        <v>175.77</v>
      </c>
      <c r="GB12" s="1">
        <v>0</v>
      </c>
      <c r="GC12" s="1">
        <v>233.39</v>
      </c>
      <c r="GD12" s="1">
        <v>2038.6</v>
      </c>
      <c r="GE12" s="1">
        <v>424.67</v>
      </c>
      <c r="GF12" s="1">
        <v>103.12</v>
      </c>
      <c r="GG12" s="1">
        <v>103.12</v>
      </c>
      <c r="GH12" s="1">
        <v>103.12</v>
      </c>
      <c r="GI12" s="1">
        <v>103.12</v>
      </c>
      <c r="GJ12" s="1">
        <v>212.94</v>
      </c>
      <c r="GK12" s="1">
        <v>601.88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734.5</v>
      </c>
      <c r="GR12" s="1">
        <v>460.95</v>
      </c>
      <c r="GS12" s="1">
        <v>329.12</v>
      </c>
      <c r="GT12" s="1">
        <v>0</v>
      </c>
      <c r="GU12" s="1">
        <v>193.65</v>
      </c>
      <c r="GV12" s="1">
        <v>0</v>
      </c>
      <c r="GW12" s="1">
        <v>0</v>
      </c>
      <c r="GX12" s="1">
        <v>122.97</v>
      </c>
      <c r="GY12" s="1">
        <v>1067.04</v>
      </c>
      <c r="GZ12" s="1">
        <v>432.2</v>
      </c>
      <c r="HA12" s="1">
        <v>113.07</v>
      </c>
      <c r="HB12" s="1">
        <v>113.07</v>
      </c>
      <c r="HC12" s="1">
        <v>213.66</v>
      </c>
      <c r="HD12" s="1">
        <v>301.63</v>
      </c>
      <c r="HE12" s="1">
        <v>1165.6400000000001</v>
      </c>
      <c r="HF12" s="1">
        <v>997.75</v>
      </c>
      <c r="HG12" s="1">
        <v>211.08</v>
      </c>
      <c r="HH12" s="1">
        <v>0</v>
      </c>
      <c r="HI12" s="1">
        <v>0</v>
      </c>
      <c r="HJ12" s="1">
        <v>0</v>
      </c>
      <c r="HK12" s="1">
        <v>0</v>
      </c>
      <c r="HL12" s="1">
        <v>491.88</v>
      </c>
      <c r="HM12" s="1">
        <v>612.27</v>
      </c>
      <c r="HN12" s="1">
        <v>0</v>
      </c>
      <c r="HO12" s="1">
        <v>114.02</v>
      </c>
      <c r="HP12" s="1">
        <v>239.08</v>
      </c>
      <c r="HQ12" s="1">
        <v>239.08</v>
      </c>
      <c r="HR12" s="1">
        <v>239.08</v>
      </c>
      <c r="HS12" s="1">
        <v>259.94</v>
      </c>
      <c r="HT12" s="1">
        <v>1394.63</v>
      </c>
      <c r="HU12" s="1">
        <v>203.08</v>
      </c>
      <c r="HV12" s="1">
        <v>102.49</v>
      </c>
      <c r="HW12" s="1">
        <v>0</v>
      </c>
      <c r="HX12" s="1">
        <v>0</v>
      </c>
      <c r="HY12" s="1">
        <v>635.29</v>
      </c>
      <c r="HZ12" s="1">
        <v>2948.45</v>
      </c>
      <c r="IA12" s="1">
        <v>3307.66</v>
      </c>
      <c r="IB12" s="1">
        <v>536.12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136.06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1463.63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186.4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80.790000000000006</v>
      </c>
      <c r="KE12" s="1">
        <v>80.790000000000006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t="s">
        <v>376</v>
      </c>
    </row>
    <row r="14" spans="1:367" x14ac:dyDescent="0.3">
      <c r="A14" t="s">
        <v>377</v>
      </c>
      <c r="BE14">
        <v>1</v>
      </c>
      <c r="BF14">
        <v>0</v>
      </c>
      <c r="BG14">
        <v>1</v>
      </c>
      <c r="BH14">
        <v>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</v>
      </c>
      <c r="BV14">
        <v>4</v>
      </c>
      <c r="BW14">
        <v>0</v>
      </c>
    </row>
    <row r="15" spans="1:367" x14ac:dyDescent="0.3">
      <c r="A15" t="s">
        <v>378</v>
      </c>
      <c r="BE15">
        <v>1</v>
      </c>
      <c r="BF15">
        <v>1</v>
      </c>
      <c r="BG15">
        <v>0</v>
      </c>
      <c r="BH15">
        <v>0</v>
      </c>
      <c r="BI15">
        <v>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7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7</v>
      </c>
    </row>
    <row r="17" spans="1:2" x14ac:dyDescent="0.3">
      <c r="A17" t="s">
        <v>458</v>
      </c>
      <c r="B17" s="5" t="s">
        <v>463</v>
      </c>
    </row>
    <row r="18" spans="1:2" x14ac:dyDescent="0.3">
      <c r="A18" t="s">
        <v>459</v>
      </c>
      <c r="B18" s="6"/>
    </row>
    <row r="19" spans="1:2" x14ac:dyDescent="0.3">
      <c r="A19" t="s">
        <v>460</v>
      </c>
      <c r="B19" s="6">
        <v>0.71</v>
      </c>
    </row>
    <row r="20" spans="1:2" x14ac:dyDescent="0.3">
      <c r="A20" t="s">
        <v>461</v>
      </c>
      <c r="B20" s="5" t="s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C15"/>
  <sheetViews>
    <sheetView workbookViewId="0">
      <pane xSplit="1" ySplit="1" topLeftCell="B2" activePane="bottomRight" state="frozen"/>
      <selection pane="topRight"/>
      <selection pane="bottomLeft"/>
      <selection pane="bottomRight" activeCell="A15" sqref="A15"/>
    </sheetView>
  </sheetViews>
  <sheetFormatPr defaultRowHeight="14.4" x14ac:dyDescent="0.3"/>
  <cols>
    <col min="1" max="1" width="18.77734375" bestFit="1" customWidth="1"/>
  </cols>
  <sheetData>
    <row r="1" spans="1:36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</row>
    <row r="2" spans="1:367" x14ac:dyDescent="0.3">
      <c r="A2" t="s">
        <v>366</v>
      </c>
      <c r="B2" s="1">
        <v>45</v>
      </c>
      <c r="C2" s="1">
        <v>30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30</v>
      </c>
      <c r="K2" s="1">
        <v>15</v>
      </c>
      <c r="L2" s="1">
        <v>0</v>
      </c>
      <c r="M2" s="1">
        <v>0</v>
      </c>
      <c r="N2" s="1">
        <v>0</v>
      </c>
      <c r="O2" s="1">
        <v>15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15</v>
      </c>
      <c r="AG2" s="1">
        <v>0</v>
      </c>
      <c r="AH2" s="1">
        <v>15</v>
      </c>
      <c r="AI2" s="1">
        <v>0</v>
      </c>
      <c r="AJ2" s="1">
        <v>0</v>
      </c>
      <c r="AK2" s="1">
        <v>0</v>
      </c>
      <c r="AL2" s="1">
        <v>30</v>
      </c>
      <c r="AM2" s="1">
        <v>15</v>
      </c>
      <c r="AN2" s="1">
        <v>120</v>
      </c>
      <c r="AO2" s="1">
        <v>0</v>
      </c>
      <c r="AP2" s="1">
        <v>0</v>
      </c>
      <c r="AQ2" s="1">
        <v>30</v>
      </c>
      <c r="AR2" s="1">
        <v>0</v>
      </c>
      <c r="AS2" s="1">
        <v>150</v>
      </c>
      <c r="AT2" s="1">
        <v>240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30</v>
      </c>
      <c r="BA2" s="1">
        <v>15</v>
      </c>
      <c r="BB2" s="1">
        <v>0</v>
      </c>
      <c r="BC2" s="1">
        <v>0</v>
      </c>
      <c r="BD2" s="1">
        <v>30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>
        <v>825</v>
      </c>
    </row>
    <row r="3" spans="1:367" x14ac:dyDescent="0.3">
      <c r="A3" t="s">
        <v>367</v>
      </c>
      <c r="B3" s="2">
        <f t="shared" ref="B3:BM3" si="0">IFERROR(B5/B4,0)</f>
        <v>0.37037037037037035</v>
      </c>
      <c r="C3" s="2">
        <f t="shared" si="0"/>
        <v>0.18518518518518517</v>
      </c>
      <c r="D3" s="2">
        <f t="shared" si="0"/>
        <v>0.22222222222222221</v>
      </c>
      <c r="E3" s="2">
        <f t="shared" si="0"/>
        <v>7.407407407407407E-2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0</v>
      </c>
      <c r="J3" s="2">
        <f t="shared" si="0"/>
        <v>7.407407407407407E-2</v>
      </c>
      <c r="K3" s="2">
        <f t="shared" si="0"/>
        <v>7.407407407407407E-2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3.7037037037037035E-2</v>
      </c>
      <c r="P3" s="2">
        <f t="shared" si="0"/>
        <v>0</v>
      </c>
      <c r="Q3" s="2">
        <f t="shared" si="0"/>
        <v>3.7037037037037035E-2</v>
      </c>
      <c r="R3" s="2">
        <f t="shared" si="0"/>
        <v>3.7037037037037035E-2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2">
        <f t="shared" si="0"/>
        <v>0</v>
      </c>
      <c r="W3" s="2">
        <f t="shared" si="0"/>
        <v>0</v>
      </c>
      <c r="X3" s="2">
        <f t="shared" si="0"/>
        <v>0</v>
      </c>
      <c r="Y3" s="2">
        <f t="shared" si="0"/>
        <v>7.407407407407407E-2</v>
      </c>
      <c r="Z3" s="2">
        <f t="shared" si="0"/>
        <v>0</v>
      </c>
      <c r="AA3" s="2">
        <f t="shared" si="0"/>
        <v>0</v>
      </c>
      <c r="AB3" s="2">
        <f t="shared" si="0"/>
        <v>3.7037037037037035E-2</v>
      </c>
      <c r="AC3" s="2">
        <f t="shared" si="0"/>
        <v>3.7037037037037035E-2</v>
      </c>
      <c r="AD3" s="2">
        <f t="shared" si="0"/>
        <v>3.7037037037037035E-2</v>
      </c>
      <c r="AE3" s="2">
        <f t="shared" si="0"/>
        <v>7.407407407407407E-2</v>
      </c>
      <c r="AF3" s="2">
        <f t="shared" si="0"/>
        <v>0.1111111111111111</v>
      </c>
      <c r="AG3" s="2">
        <f t="shared" si="0"/>
        <v>7.407407407407407E-2</v>
      </c>
      <c r="AH3" s="2">
        <f t="shared" si="0"/>
        <v>7.407407407407407E-2</v>
      </c>
      <c r="AI3" s="2">
        <f t="shared" si="0"/>
        <v>7.407407407407407E-2</v>
      </c>
      <c r="AJ3" s="2">
        <f t="shared" si="0"/>
        <v>3.7037037037037035E-2</v>
      </c>
      <c r="AK3" s="2">
        <f t="shared" si="0"/>
        <v>0</v>
      </c>
      <c r="AL3" s="2">
        <f t="shared" si="0"/>
        <v>7.407407407407407E-2</v>
      </c>
      <c r="AM3" s="2">
        <f t="shared" si="0"/>
        <v>7.407407407407407E-2</v>
      </c>
      <c r="AN3" s="2">
        <f t="shared" si="0"/>
        <v>0.1111111111111111</v>
      </c>
      <c r="AO3" s="2">
        <f t="shared" si="0"/>
        <v>0.1111111111111111</v>
      </c>
      <c r="AP3" s="2">
        <f t="shared" si="0"/>
        <v>0.14814814814814814</v>
      </c>
      <c r="AQ3" s="2">
        <f t="shared" si="0"/>
        <v>0.17857142857142858</v>
      </c>
      <c r="AR3" s="2">
        <f t="shared" si="0"/>
        <v>7.1428571428571425E-2</v>
      </c>
      <c r="AS3" s="2">
        <f t="shared" si="0"/>
        <v>0.25</v>
      </c>
      <c r="AT3" s="2">
        <f t="shared" si="0"/>
        <v>0.8571428571428571</v>
      </c>
      <c r="AU3" s="2">
        <f t="shared" si="0"/>
        <v>3.5714285714285712E-2</v>
      </c>
      <c r="AV3" s="2">
        <f t="shared" si="0"/>
        <v>3.5714285714285712E-2</v>
      </c>
      <c r="AW3" s="2">
        <f t="shared" si="0"/>
        <v>0</v>
      </c>
      <c r="AX3" s="2">
        <f t="shared" si="0"/>
        <v>0</v>
      </c>
      <c r="AY3" s="2">
        <f t="shared" si="0"/>
        <v>7.1428571428571425E-2</v>
      </c>
      <c r="AZ3" s="2">
        <f t="shared" si="0"/>
        <v>0.10714285714285714</v>
      </c>
      <c r="BA3" s="2">
        <f t="shared" si="0"/>
        <v>3.5714285714285712E-2</v>
      </c>
      <c r="BB3" s="2">
        <f t="shared" si="0"/>
        <v>0</v>
      </c>
      <c r="BC3" s="2">
        <f t="shared" si="0"/>
        <v>0</v>
      </c>
      <c r="BD3" s="2">
        <f t="shared" si="0"/>
        <v>3.5714285714285712E-2</v>
      </c>
      <c r="BE3" s="2">
        <f t="shared" si="0"/>
        <v>3.5714285714285712E-2</v>
      </c>
      <c r="BF3" s="2">
        <f t="shared" si="0"/>
        <v>0</v>
      </c>
      <c r="BG3" s="2">
        <f t="shared" si="0"/>
        <v>3.5714285714285712E-2</v>
      </c>
      <c r="BH3" s="2">
        <f t="shared" si="0"/>
        <v>0.17857142857142858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ref="BN3:DY3" si="1">IFERROR(BN5/BN4,0)</f>
        <v>0.10714285714285714</v>
      </c>
      <c r="BO3" s="2">
        <f t="shared" si="1"/>
        <v>0.2857142857142857</v>
      </c>
      <c r="BP3" s="2">
        <f t="shared" si="1"/>
        <v>3.5714285714285712E-2</v>
      </c>
      <c r="BQ3" s="2">
        <f t="shared" si="1"/>
        <v>3.5714285714285712E-2</v>
      </c>
      <c r="BR3" s="2">
        <f t="shared" si="1"/>
        <v>0</v>
      </c>
      <c r="BS3" s="2">
        <f t="shared" si="1"/>
        <v>0</v>
      </c>
      <c r="BT3" s="2">
        <f t="shared" si="1"/>
        <v>0</v>
      </c>
      <c r="BU3" s="2">
        <f t="shared" si="1"/>
        <v>7.1428571428571425E-2</v>
      </c>
      <c r="BV3" s="2">
        <f t="shared" si="1"/>
        <v>0.25</v>
      </c>
      <c r="BW3" s="2">
        <f t="shared" si="1"/>
        <v>0</v>
      </c>
      <c r="BX3" s="2">
        <f t="shared" si="1"/>
        <v>0</v>
      </c>
      <c r="BY3" s="2">
        <f t="shared" si="1"/>
        <v>0</v>
      </c>
      <c r="BZ3" s="2">
        <f t="shared" si="1"/>
        <v>0</v>
      </c>
      <c r="CA3" s="2">
        <f t="shared" si="1"/>
        <v>0</v>
      </c>
      <c r="CB3" s="2">
        <f t="shared" si="1"/>
        <v>7.1428571428571425E-2</v>
      </c>
      <c r="CC3" s="2">
        <f t="shared" si="1"/>
        <v>0.25</v>
      </c>
      <c r="CD3" s="2">
        <f t="shared" si="1"/>
        <v>0</v>
      </c>
      <c r="CE3" s="2">
        <f t="shared" si="1"/>
        <v>0</v>
      </c>
      <c r="CF3" s="2">
        <f t="shared" si="1"/>
        <v>0</v>
      </c>
      <c r="CG3" s="2">
        <f t="shared" si="1"/>
        <v>3.5714285714285712E-2</v>
      </c>
      <c r="CH3" s="2">
        <f t="shared" si="1"/>
        <v>3.5714285714285712E-2</v>
      </c>
      <c r="CI3" s="2">
        <f t="shared" si="1"/>
        <v>7.1428571428571425E-2</v>
      </c>
      <c r="CJ3" s="2">
        <f t="shared" si="1"/>
        <v>0.10714285714285714</v>
      </c>
      <c r="CK3" s="2">
        <f t="shared" si="1"/>
        <v>3.5714285714285712E-2</v>
      </c>
      <c r="CL3" s="2">
        <f t="shared" si="1"/>
        <v>7.1428571428571425E-2</v>
      </c>
      <c r="CM3" s="2">
        <f t="shared" si="1"/>
        <v>3.5714285714285712E-2</v>
      </c>
      <c r="CN3" s="2">
        <f t="shared" si="1"/>
        <v>7.1428571428571425E-2</v>
      </c>
      <c r="CO3" s="2">
        <f t="shared" si="1"/>
        <v>0.21428571428571427</v>
      </c>
      <c r="CP3" s="2">
        <f t="shared" si="1"/>
        <v>0.5714285714285714</v>
      </c>
      <c r="CQ3" s="2">
        <f t="shared" si="1"/>
        <v>0.75</v>
      </c>
      <c r="CR3" s="2">
        <f t="shared" si="1"/>
        <v>0.21428571428571427</v>
      </c>
      <c r="CS3" s="2">
        <f t="shared" si="1"/>
        <v>0.14285714285714285</v>
      </c>
      <c r="CT3" s="2">
        <f t="shared" si="1"/>
        <v>0.2857142857142857</v>
      </c>
      <c r="CU3" s="2">
        <f t="shared" si="1"/>
        <v>0.25</v>
      </c>
      <c r="CV3" s="2">
        <f t="shared" si="1"/>
        <v>0.35714285714285715</v>
      </c>
      <c r="CW3" s="2">
        <f t="shared" si="1"/>
        <v>0.39285714285714285</v>
      </c>
      <c r="CX3" s="2">
        <f t="shared" si="1"/>
        <v>0.8928571428571429</v>
      </c>
      <c r="CY3" s="2">
        <f t="shared" si="1"/>
        <v>0.21428571428571427</v>
      </c>
      <c r="CZ3" s="2">
        <f t="shared" si="1"/>
        <v>0.10714285714285714</v>
      </c>
      <c r="DA3" s="2">
        <f t="shared" si="1"/>
        <v>0.14285714285714285</v>
      </c>
      <c r="DB3" s="2">
        <f t="shared" si="1"/>
        <v>0.32142857142857145</v>
      </c>
      <c r="DC3" s="2">
        <f t="shared" si="1"/>
        <v>0.8571428571428571</v>
      </c>
      <c r="DD3" s="2">
        <f t="shared" si="1"/>
        <v>0.8928571428571429</v>
      </c>
      <c r="DE3" s="2">
        <f t="shared" si="1"/>
        <v>0.8928571428571429</v>
      </c>
      <c r="DF3" s="2">
        <f t="shared" si="1"/>
        <v>0.5357142857142857</v>
      </c>
      <c r="DG3" s="2">
        <f t="shared" si="1"/>
        <v>0.5714285714285714</v>
      </c>
      <c r="DH3" s="2">
        <f t="shared" si="1"/>
        <v>0.6428571428571429</v>
      </c>
      <c r="DI3" s="2">
        <f t="shared" si="1"/>
        <v>0.5</v>
      </c>
      <c r="DJ3" s="2">
        <f t="shared" si="1"/>
        <v>0.6428571428571429</v>
      </c>
      <c r="DK3" s="2">
        <f t="shared" si="1"/>
        <v>0.7857142857142857</v>
      </c>
      <c r="DL3" s="2">
        <f t="shared" si="1"/>
        <v>0.7857142857142857</v>
      </c>
      <c r="DM3" s="2">
        <f t="shared" si="1"/>
        <v>0.10714285714285714</v>
      </c>
      <c r="DN3" s="2">
        <f t="shared" si="1"/>
        <v>0.2857142857142857</v>
      </c>
      <c r="DO3" s="2">
        <f t="shared" si="1"/>
        <v>0.32142857142857145</v>
      </c>
      <c r="DP3" s="2">
        <f t="shared" si="1"/>
        <v>0.35714285714285715</v>
      </c>
      <c r="DQ3" s="2">
        <f t="shared" si="1"/>
        <v>0.32142857142857145</v>
      </c>
      <c r="DR3" s="2">
        <f t="shared" si="1"/>
        <v>0.8928571428571429</v>
      </c>
      <c r="DS3" s="2">
        <f t="shared" si="1"/>
        <v>0.8571428571428571</v>
      </c>
      <c r="DT3" s="2">
        <f t="shared" si="1"/>
        <v>3.5714285714285712E-2</v>
      </c>
      <c r="DU3" s="2">
        <f t="shared" si="1"/>
        <v>0</v>
      </c>
      <c r="DV3" s="2">
        <f t="shared" si="1"/>
        <v>0</v>
      </c>
      <c r="DW3" s="2">
        <f t="shared" si="1"/>
        <v>0</v>
      </c>
      <c r="DX3" s="2">
        <f t="shared" si="1"/>
        <v>0</v>
      </c>
      <c r="DY3" s="2">
        <f t="shared" si="1"/>
        <v>3.5714285714285712E-2</v>
      </c>
      <c r="DZ3" s="2">
        <f t="shared" ref="DZ3:GK3" si="2">IFERROR(DZ5/DZ4,0)</f>
        <v>0.5357142857142857</v>
      </c>
      <c r="EA3" s="2">
        <f t="shared" si="2"/>
        <v>3.5714285714285712E-2</v>
      </c>
      <c r="EB3" s="2">
        <f t="shared" si="2"/>
        <v>3.5714285714285712E-2</v>
      </c>
      <c r="EC3" s="2">
        <f t="shared" si="2"/>
        <v>3.5714285714285712E-2</v>
      </c>
      <c r="ED3" s="2">
        <f t="shared" si="2"/>
        <v>7.1428571428571425E-2</v>
      </c>
      <c r="EE3" s="2">
        <f t="shared" si="2"/>
        <v>0.75</v>
      </c>
      <c r="EF3" s="2">
        <f t="shared" si="2"/>
        <v>0.8928571428571429</v>
      </c>
      <c r="EG3" s="2">
        <f t="shared" si="2"/>
        <v>0.7857142857142857</v>
      </c>
      <c r="EH3" s="2">
        <f t="shared" si="2"/>
        <v>3.5714285714285712E-2</v>
      </c>
      <c r="EI3" s="2">
        <f t="shared" si="2"/>
        <v>0.10714285714285714</v>
      </c>
      <c r="EJ3" s="2">
        <f t="shared" si="2"/>
        <v>0.10714285714285714</v>
      </c>
      <c r="EK3" s="2">
        <f t="shared" si="2"/>
        <v>7.1428571428571425E-2</v>
      </c>
      <c r="EL3" s="2">
        <f t="shared" si="2"/>
        <v>0.10714285714285714</v>
      </c>
      <c r="EM3" s="2">
        <f t="shared" si="2"/>
        <v>0.17857142857142858</v>
      </c>
      <c r="EN3" s="2">
        <f t="shared" si="2"/>
        <v>0.75</v>
      </c>
      <c r="EO3" s="2">
        <f t="shared" si="2"/>
        <v>0.10714285714285714</v>
      </c>
      <c r="EP3" s="2">
        <f t="shared" si="2"/>
        <v>0</v>
      </c>
      <c r="EQ3" s="2">
        <f t="shared" si="2"/>
        <v>0</v>
      </c>
      <c r="ER3" s="2">
        <f t="shared" si="2"/>
        <v>0</v>
      </c>
      <c r="ES3" s="2">
        <f t="shared" si="2"/>
        <v>0</v>
      </c>
      <c r="ET3" s="2">
        <f t="shared" si="2"/>
        <v>0</v>
      </c>
      <c r="EU3" s="2">
        <f t="shared" si="2"/>
        <v>0.5357142857142857</v>
      </c>
      <c r="EV3" s="2">
        <f t="shared" si="2"/>
        <v>0</v>
      </c>
      <c r="EW3" s="2">
        <f t="shared" si="2"/>
        <v>3.5714285714285712E-2</v>
      </c>
      <c r="EX3" s="2">
        <f t="shared" si="2"/>
        <v>0</v>
      </c>
      <c r="EY3" s="2">
        <f t="shared" si="2"/>
        <v>0</v>
      </c>
      <c r="EZ3" s="2">
        <f t="shared" si="2"/>
        <v>0.32142857142857145</v>
      </c>
      <c r="FA3" s="2">
        <f t="shared" si="2"/>
        <v>0.5</v>
      </c>
      <c r="FB3" s="2">
        <f t="shared" si="2"/>
        <v>0.5714285714285714</v>
      </c>
      <c r="FC3" s="2">
        <f t="shared" si="2"/>
        <v>3.5714285714285712E-2</v>
      </c>
      <c r="FD3" s="2">
        <f t="shared" si="2"/>
        <v>3.5714285714285712E-2</v>
      </c>
      <c r="FE3" s="2">
        <f t="shared" si="2"/>
        <v>3.5714285714285712E-2</v>
      </c>
      <c r="FF3" s="2">
        <f t="shared" si="2"/>
        <v>3.5714285714285712E-2</v>
      </c>
      <c r="FG3" s="2">
        <f t="shared" si="2"/>
        <v>0</v>
      </c>
      <c r="FH3" s="2">
        <f t="shared" si="2"/>
        <v>7.1428571428571425E-2</v>
      </c>
      <c r="FI3" s="2">
        <f t="shared" si="2"/>
        <v>0.4642857142857143</v>
      </c>
      <c r="FJ3" s="2">
        <f t="shared" si="2"/>
        <v>0</v>
      </c>
      <c r="FK3" s="2">
        <f t="shared" si="2"/>
        <v>0</v>
      </c>
      <c r="FL3" s="2">
        <f t="shared" si="2"/>
        <v>0</v>
      </c>
      <c r="FM3" s="2">
        <f t="shared" si="2"/>
        <v>0</v>
      </c>
      <c r="FN3" s="2">
        <f t="shared" si="2"/>
        <v>0</v>
      </c>
      <c r="FO3" s="2">
        <f t="shared" si="2"/>
        <v>7.1428571428571425E-2</v>
      </c>
      <c r="FP3" s="2">
        <f t="shared" si="2"/>
        <v>0.7857142857142857</v>
      </c>
      <c r="FQ3" s="2">
        <f t="shared" si="2"/>
        <v>0</v>
      </c>
      <c r="FR3" s="2">
        <f t="shared" si="2"/>
        <v>0</v>
      </c>
      <c r="FS3" s="2">
        <f t="shared" si="2"/>
        <v>0</v>
      </c>
      <c r="FT3" s="2">
        <f t="shared" si="2"/>
        <v>0</v>
      </c>
      <c r="FU3" s="2">
        <f t="shared" si="2"/>
        <v>0</v>
      </c>
      <c r="FV3" s="2">
        <f t="shared" si="2"/>
        <v>0.35714285714285715</v>
      </c>
      <c r="FW3" s="2">
        <f t="shared" si="2"/>
        <v>0.75</v>
      </c>
      <c r="FX3" s="2">
        <f t="shared" si="2"/>
        <v>3.5714285714285712E-2</v>
      </c>
      <c r="FY3" s="2">
        <f t="shared" si="2"/>
        <v>7.1428571428571425E-2</v>
      </c>
      <c r="FZ3" s="2">
        <f t="shared" si="2"/>
        <v>7.1428571428571425E-2</v>
      </c>
      <c r="GA3" s="2">
        <f t="shared" si="2"/>
        <v>6.6666666666666666E-2</v>
      </c>
      <c r="GB3" s="2">
        <f t="shared" si="2"/>
        <v>0</v>
      </c>
      <c r="GC3" s="2">
        <f t="shared" si="2"/>
        <v>6.6666666666666666E-2</v>
      </c>
      <c r="GD3" s="2">
        <f t="shared" si="2"/>
        <v>0.56666666666666665</v>
      </c>
      <c r="GE3" s="2">
        <f t="shared" si="2"/>
        <v>0.13333333333333333</v>
      </c>
      <c r="GF3" s="2">
        <f t="shared" si="2"/>
        <v>3.3333333333333333E-2</v>
      </c>
      <c r="GG3" s="2">
        <f t="shared" si="2"/>
        <v>3.3333333333333333E-2</v>
      </c>
      <c r="GH3" s="2">
        <f t="shared" si="2"/>
        <v>3.3333333333333333E-2</v>
      </c>
      <c r="GI3" s="2">
        <f t="shared" si="2"/>
        <v>3.3333333333333333E-2</v>
      </c>
      <c r="GJ3" s="2">
        <f t="shared" si="2"/>
        <v>6.6666666666666666E-2</v>
      </c>
      <c r="GK3" s="2">
        <f t="shared" si="2"/>
        <v>0.16666666666666666</v>
      </c>
      <c r="GL3" s="2">
        <f t="shared" ref="GL3:IW3" si="3">IFERROR(GL5/GL4,0)</f>
        <v>0</v>
      </c>
      <c r="GM3" s="2">
        <f t="shared" si="3"/>
        <v>0</v>
      </c>
      <c r="GN3" s="2">
        <f t="shared" si="3"/>
        <v>0</v>
      </c>
      <c r="GO3" s="2">
        <f t="shared" si="3"/>
        <v>0</v>
      </c>
      <c r="GP3" s="2">
        <f t="shared" si="3"/>
        <v>0</v>
      </c>
      <c r="GQ3" s="2">
        <f t="shared" si="3"/>
        <v>0.13333333333333333</v>
      </c>
      <c r="GR3" s="2">
        <f t="shared" si="3"/>
        <v>0.13333333333333333</v>
      </c>
      <c r="GS3" s="2">
        <f t="shared" si="3"/>
        <v>0.1</v>
      </c>
      <c r="GT3" s="2">
        <f t="shared" si="3"/>
        <v>0</v>
      </c>
      <c r="GU3" s="2">
        <f t="shared" si="3"/>
        <v>6.6666666666666666E-2</v>
      </c>
      <c r="GV3" s="2">
        <f t="shared" si="3"/>
        <v>0</v>
      </c>
      <c r="GW3" s="2">
        <f t="shared" si="3"/>
        <v>0</v>
      </c>
      <c r="GX3" s="2">
        <f t="shared" si="3"/>
        <v>3.3333333333333333E-2</v>
      </c>
      <c r="GY3" s="2">
        <f t="shared" si="3"/>
        <v>0.3</v>
      </c>
      <c r="GZ3" s="2">
        <f t="shared" si="3"/>
        <v>0.13333333333333333</v>
      </c>
      <c r="HA3" s="2">
        <f t="shared" si="3"/>
        <v>3.3333333333333333E-2</v>
      </c>
      <c r="HB3" s="2">
        <f t="shared" si="3"/>
        <v>3.3333333333333333E-2</v>
      </c>
      <c r="HC3" s="2">
        <f t="shared" si="3"/>
        <v>6.6666666666666666E-2</v>
      </c>
      <c r="HD3" s="2">
        <f t="shared" si="3"/>
        <v>0.1</v>
      </c>
      <c r="HE3" s="2">
        <f t="shared" si="3"/>
        <v>0.3</v>
      </c>
      <c r="HF3" s="2">
        <f t="shared" si="3"/>
        <v>0.26666666666666666</v>
      </c>
      <c r="HG3" s="2">
        <f t="shared" si="3"/>
        <v>6.6666666666666666E-2</v>
      </c>
      <c r="HH3" s="2">
        <f t="shared" si="3"/>
        <v>0</v>
      </c>
      <c r="HI3" s="2">
        <f t="shared" si="3"/>
        <v>0</v>
      </c>
      <c r="HJ3" s="2">
        <f t="shared" si="3"/>
        <v>0</v>
      </c>
      <c r="HK3" s="2">
        <f t="shared" si="3"/>
        <v>0</v>
      </c>
      <c r="HL3" s="2">
        <f t="shared" si="3"/>
        <v>0.13333333333333333</v>
      </c>
      <c r="HM3" s="2">
        <f t="shared" si="3"/>
        <v>0.16666666666666666</v>
      </c>
      <c r="HN3" s="2">
        <f t="shared" si="3"/>
        <v>0</v>
      </c>
      <c r="HO3" s="2">
        <f t="shared" si="3"/>
        <v>3.3333333333333333E-2</v>
      </c>
      <c r="HP3" s="2">
        <f t="shared" si="3"/>
        <v>6.6666666666666666E-2</v>
      </c>
      <c r="HQ3" s="2">
        <f t="shared" si="3"/>
        <v>6.6666666666666666E-2</v>
      </c>
      <c r="HR3" s="2">
        <f t="shared" si="3"/>
        <v>6.6666666666666666E-2</v>
      </c>
      <c r="HS3" s="2">
        <f t="shared" si="3"/>
        <v>6.6666666666666666E-2</v>
      </c>
      <c r="HT3" s="2">
        <f t="shared" si="3"/>
        <v>0.36666666666666664</v>
      </c>
      <c r="HU3" s="2">
        <f t="shared" si="3"/>
        <v>6.6666666666666666E-2</v>
      </c>
      <c r="HV3" s="2">
        <f t="shared" si="3"/>
        <v>3.3333333333333333E-2</v>
      </c>
      <c r="HW3" s="2">
        <f t="shared" si="3"/>
        <v>0</v>
      </c>
      <c r="HX3" s="2">
        <f t="shared" si="3"/>
        <v>0</v>
      </c>
      <c r="HY3" s="2">
        <f t="shared" si="3"/>
        <v>0.16666666666666666</v>
      </c>
      <c r="HZ3" s="2">
        <f t="shared" si="3"/>
        <v>0.73333333333333328</v>
      </c>
      <c r="IA3" s="2">
        <f t="shared" si="3"/>
        <v>0.83333333333333337</v>
      </c>
      <c r="IB3" s="2">
        <f t="shared" si="3"/>
        <v>0.13333333333333333</v>
      </c>
      <c r="IC3" s="2">
        <f t="shared" si="3"/>
        <v>0</v>
      </c>
      <c r="ID3" s="2">
        <f t="shared" si="3"/>
        <v>0</v>
      </c>
      <c r="IE3" s="2">
        <f t="shared" si="3"/>
        <v>0</v>
      </c>
      <c r="IF3" s="2">
        <f t="shared" si="3"/>
        <v>0</v>
      </c>
      <c r="IG3" s="2">
        <f t="shared" si="3"/>
        <v>0</v>
      </c>
      <c r="IH3" s="2">
        <f t="shared" si="3"/>
        <v>3.3333333333333333E-2</v>
      </c>
      <c r="II3" s="2">
        <f t="shared" si="3"/>
        <v>0</v>
      </c>
      <c r="IJ3" s="2">
        <f t="shared" si="3"/>
        <v>0</v>
      </c>
      <c r="IK3" s="2">
        <f t="shared" si="3"/>
        <v>0</v>
      </c>
      <c r="IL3" s="2">
        <f t="shared" si="3"/>
        <v>0</v>
      </c>
      <c r="IM3" s="2">
        <f t="shared" si="3"/>
        <v>0</v>
      </c>
      <c r="IN3" s="2">
        <f t="shared" si="3"/>
        <v>0</v>
      </c>
      <c r="IO3" s="2">
        <f t="shared" si="3"/>
        <v>0.43333333333333335</v>
      </c>
      <c r="IP3" s="2">
        <f t="shared" si="3"/>
        <v>0</v>
      </c>
      <c r="IQ3" s="2">
        <f t="shared" si="3"/>
        <v>0</v>
      </c>
      <c r="IR3" s="2">
        <f t="shared" si="3"/>
        <v>0</v>
      </c>
      <c r="IS3" s="2">
        <f t="shared" si="3"/>
        <v>0</v>
      </c>
      <c r="IT3" s="2">
        <f t="shared" si="3"/>
        <v>0</v>
      </c>
      <c r="IU3" s="2">
        <f t="shared" si="3"/>
        <v>0</v>
      </c>
      <c r="IV3" s="2">
        <f t="shared" si="3"/>
        <v>0</v>
      </c>
      <c r="IW3" s="2">
        <f t="shared" si="3"/>
        <v>0</v>
      </c>
      <c r="IX3" s="2">
        <f t="shared" ref="IX3:LI3" si="4">IFERROR(IX5/IX4,0)</f>
        <v>0</v>
      </c>
      <c r="IY3" s="2">
        <f t="shared" si="4"/>
        <v>0</v>
      </c>
      <c r="IZ3" s="2">
        <f t="shared" si="4"/>
        <v>0</v>
      </c>
      <c r="JA3" s="2">
        <f t="shared" si="4"/>
        <v>0</v>
      </c>
      <c r="JB3" s="2">
        <f t="shared" si="4"/>
        <v>0</v>
      </c>
      <c r="JC3" s="2">
        <f t="shared" si="4"/>
        <v>0</v>
      </c>
      <c r="JD3" s="2">
        <f t="shared" si="4"/>
        <v>0</v>
      </c>
      <c r="JE3" s="2">
        <f t="shared" si="4"/>
        <v>0</v>
      </c>
      <c r="JF3" s="2">
        <f t="shared" si="4"/>
        <v>0</v>
      </c>
      <c r="JG3" s="2">
        <f t="shared" si="4"/>
        <v>0</v>
      </c>
      <c r="JH3" s="2">
        <f t="shared" si="4"/>
        <v>0</v>
      </c>
      <c r="JI3" s="2">
        <f t="shared" si="4"/>
        <v>0</v>
      </c>
      <c r="JJ3" s="2">
        <f t="shared" si="4"/>
        <v>0</v>
      </c>
      <c r="JK3" s="2">
        <f t="shared" si="4"/>
        <v>0</v>
      </c>
      <c r="JL3" s="2">
        <f t="shared" si="4"/>
        <v>0</v>
      </c>
      <c r="JM3" s="2">
        <f t="shared" si="4"/>
        <v>0</v>
      </c>
      <c r="JN3" s="2">
        <f t="shared" si="4"/>
        <v>0</v>
      </c>
      <c r="JO3" s="2">
        <f t="shared" si="4"/>
        <v>0</v>
      </c>
      <c r="JP3" s="2">
        <f t="shared" si="4"/>
        <v>0</v>
      </c>
      <c r="JQ3" s="2">
        <f t="shared" si="4"/>
        <v>6.6666666666666666E-2</v>
      </c>
      <c r="JR3" s="2">
        <f t="shared" si="4"/>
        <v>0</v>
      </c>
      <c r="JS3" s="2">
        <f t="shared" si="4"/>
        <v>0</v>
      </c>
      <c r="JT3" s="2">
        <f t="shared" si="4"/>
        <v>0</v>
      </c>
      <c r="JU3" s="2">
        <f t="shared" si="4"/>
        <v>0</v>
      </c>
      <c r="JV3" s="2">
        <f t="shared" si="4"/>
        <v>0</v>
      </c>
      <c r="JW3" s="2">
        <f t="shared" si="4"/>
        <v>0</v>
      </c>
      <c r="JX3" s="2">
        <f t="shared" si="4"/>
        <v>0</v>
      </c>
      <c r="JY3" s="2">
        <f t="shared" si="4"/>
        <v>0</v>
      </c>
      <c r="JZ3" s="2">
        <f t="shared" si="4"/>
        <v>0</v>
      </c>
      <c r="KA3" s="2">
        <f t="shared" si="4"/>
        <v>0</v>
      </c>
      <c r="KB3" s="2">
        <f t="shared" si="4"/>
        <v>0</v>
      </c>
      <c r="KC3" s="2">
        <f t="shared" si="4"/>
        <v>0</v>
      </c>
      <c r="KD3" s="2">
        <f t="shared" si="4"/>
        <v>3.3333333333333333E-2</v>
      </c>
      <c r="KE3" s="2">
        <f t="shared" si="4"/>
        <v>3.3333333333333333E-2</v>
      </c>
      <c r="KF3" s="2">
        <f t="shared" si="4"/>
        <v>0</v>
      </c>
      <c r="KG3" s="2">
        <f t="shared" si="4"/>
        <v>0</v>
      </c>
      <c r="KH3" s="2">
        <f t="shared" si="4"/>
        <v>0</v>
      </c>
      <c r="KI3" s="2">
        <f t="shared" si="4"/>
        <v>0</v>
      </c>
      <c r="KJ3" s="2">
        <f t="shared" si="4"/>
        <v>0</v>
      </c>
      <c r="KK3" s="2">
        <f t="shared" si="4"/>
        <v>0</v>
      </c>
      <c r="KL3" s="2">
        <f t="shared" si="4"/>
        <v>0</v>
      </c>
      <c r="KM3" s="2">
        <f t="shared" si="4"/>
        <v>0</v>
      </c>
      <c r="KN3" s="2">
        <f t="shared" si="4"/>
        <v>0</v>
      </c>
      <c r="KO3" s="2">
        <f t="shared" si="4"/>
        <v>0</v>
      </c>
      <c r="KP3" s="2">
        <f t="shared" si="4"/>
        <v>0</v>
      </c>
      <c r="KQ3" s="2">
        <f t="shared" si="4"/>
        <v>0</v>
      </c>
      <c r="KR3" s="2">
        <f t="shared" si="4"/>
        <v>0</v>
      </c>
      <c r="KS3" s="2">
        <f t="shared" si="4"/>
        <v>0</v>
      </c>
      <c r="KT3" s="2">
        <f t="shared" si="4"/>
        <v>0</v>
      </c>
      <c r="KU3" s="2">
        <f t="shared" si="4"/>
        <v>0</v>
      </c>
      <c r="KV3" s="2">
        <f t="shared" si="4"/>
        <v>0</v>
      </c>
      <c r="KW3" s="2">
        <f t="shared" si="4"/>
        <v>0</v>
      </c>
      <c r="KX3" s="2">
        <f t="shared" si="4"/>
        <v>0</v>
      </c>
      <c r="KY3" s="2">
        <f t="shared" si="4"/>
        <v>0</v>
      </c>
      <c r="KZ3" s="2">
        <f t="shared" si="4"/>
        <v>0</v>
      </c>
      <c r="LA3" s="2">
        <f t="shared" si="4"/>
        <v>0</v>
      </c>
      <c r="LB3" s="2">
        <f t="shared" si="4"/>
        <v>0</v>
      </c>
      <c r="LC3" s="2">
        <f t="shared" si="4"/>
        <v>0</v>
      </c>
      <c r="LD3" s="2">
        <f t="shared" si="4"/>
        <v>0</v>
      </c>
      <c r="LE3" s="2">
        <f t="shared" si="4"/>
        <v>0</v>
      </c>
      <c r="LF3" s="2">
        <f t="shared" si="4"/>
        <v>0</v>
      </c>
      <c r="LG3" s="2">
        <f t="shared" si="4"/>
        <v>0</v>
      </c>
      <c r="LH3" s="2">
        <f t="shared" si="4"/>
        <v>0</v>
      </c>
      <c r="LI3" s="2">
        <f t="shared" si="4"/>
        <v>0</v>
      </c>
      <c r="LJ3" s="2">
        <f t="shared" ref="LJ3:NB3" si="5">IFERROR(LJ5/LJ4,0)</f>
        <v>0</v>
      </c>
      <c r="LK3" s="2">
        <f t="shared" si="5"/>
        <v>0</v>
      </c>
      <c r="LL3" s="2">
        <f t="shared" si="5"/>
        <v>0</v>
      </c>
      <c r="LM3" s="2">
        <f t="shared" si="5"/>
        <v>0</v>
      </c>
      <c r="LN3" s="2">
        <f t="shared" si="5"/>
        <v>0</v>
      </c>
      <c r="LO3" s="2">
        <f t="shared" si="5"/>
        <v>0</v>
      </c>
      <c r="LP3" s="2">
        <f t="shared" si="5"/>
        <v>0</v>
      </c>
      <c r="LQ3" s="2">
        <f t="shared" si="5"/>
        <v>0</v>
      </c>
      <c r="LR3" s="2">
        <f t="shared" si="5"/>
        <v>0</v>
      </c>
      <c r="LS3" s="2">
        <f t="shared" si="5"/>
        <v>0</v>
      </c>
      <c r="LT3" s="2">
        <f t="shared" si="5"/>
        <v>0</v>
      </c>
      <c r="LU3" s="2">
        <f t="shared" si="5"/>
        <v>0</v>
      </c>
      <c r="LV3" s="2">
        <f t="shared" si="5"/>
        <v>0</v>
      </c>
      <c r="LW3" s="2">
        <f t="shared" si="5"/>
        <v>0</v>
      </c>
      <c r="LX3" s="2">
        <f t="shared" si="5"/>
        <v>0</v>
      </c>
      <c r="LY3" s="2">
        <f t="shared" si="5"/>
        <v>0</v>
      </c>
      <c r="LZ3" s="2">
        <f t="shared" si="5"/>
        <v>0</v>
      </c>
      <c r="MA3" s="2">
        <f t="shared" si="5"/>
        <v>0</v>
      </c>
      <c r="MB3" s="2">
        <f t="shared" si="5"/>
        <v>0</v>
      </c>
      <c r="MC3" s="2">
        <f t="shared" si="5"/>
        <v>0</v>
      </c>
      <c r="MD3" s="2">
        <f t="shared" si="5"/>
        <v>0</v>
      </c>
      <c r="ME3" s="2">
        <f t="shared" si="5"/>
        <v>0</v>
      </c>
      <c r="MF3" s="2">
        <f t="shared" si="5"/>
        <v>0</v>
      </c>
      <c r="MG3" s="2">
        <f t="shared" si="5"/>
        <v>0</v>
      </c>
      <c r="MH3" s="2">
        <f t="shared" si="5"/>
        <v>0</v>
      </c>
      <c r="MI3" s="2">
        <f t="shared" si="5"/>
        <v>0</v>
      </c>
      <c r="MJ3" s="2">
        <f t="shared" si="5"/>
        <v>0</v>
      </c>
      <c r="MK3" s="2">
        <f t="shared" si="5"/>
        <v>0</v>
      </c>
      <c r="ML3" s="2">
        <f t="shared" si="5"/>
        <v>0</v>
      </c>
      <c r="MM3" s="2">
        <f t="shared" si="5"/>
        <v>0</v>
      </c>
      <c r="MN3" s="2">
        <f t="shared" si="5"/>
        <v>0</v>
      </c>
      <c r="MO3" s="2">
        <f t="shared" si="5"/>
        <v>0</v>
      </c>
      <c r="MP3" s="2">
        <f t="shared" si="5"/>
        <v>0</v>
      </c>
      <c r="MQ3" s="2">
        <f t="shared" si="5"/>
        <v>0</v>
      </c>
      <c r="MR3" s="2">
        <f t="shared" si="5"/>
        <v>0</v>
      </c>
      <c r="MS3" s="2">
        <f t="shared" si="5"/>
        <v>0</v>
      </c>
      <c r="MT3" s="2">
        <f t="shared" si="5"/>
        <v>0</v>
      </c>
      <c r="MU3" s="2">
        <f t="shared" si="5"/>
        <v>0</v>
      </c>
      <c r="MV3" s="2">
        <f t="shared" si="5"/>
        <v>0</v>
      </c>
      <c r="MW3" s="2">
        <f t="shared" si="5"/>
        <v>0</v>
      </c>
      <c r="MX3" s="2">
        <f t="shared" si="5"/>
        <v>0</v>
      </c>
      <c r="MY3" s="2">
        <f t="shared" si="5"/>
        <v>0</v>
      </c>
      <c r="MZ3" s="2">
        <f t="shared" si="5"/>
        <v>0</v>
      </c>
      <c r="NA3" s="2">
        <f t="shared" si="5"/>
        <v>0</v>
      </c>
      <c r="NB3" s="2">
        <f t="shared" si="5"/>
        <v>0</v>
      </c>
      <c r="NC3">
        <v>9.8795866123068177E-2</v>
      </c>
    </row>
    <row r="4" spans="1:367" x14ac:dyDescent="0.3">
      <c r="A4" t="s">
        <v>368</v>
      </c>
      <c r="B4">
        <v>27</v>
      </c>
      <c r="C4">
        <v>27</v>
      </c>
      <c r="D4">
        <v>27</v>
      </c>
      <c r="E4">
        <v>27</v>
      </c>
      <c r="F4">
        <v>27</v>
      </c>
      <c r="G4">
        <v>27</v>
      </c>
      <c r="H4">
        <v>27</v>
      </c>
      <c r="I4">
        <v>27</v>
      </c>
      <c r="J4">
        <v>27</v>
      </c>
      <c r="K4">
        <v>27</v>
      </c>
      <c r="L4">
        <v>27</v>
      </c>
      <c r="M4">
        <v>27</v>
      </c>
      <c r="N4">
        <v>27</v>
      </c>
      <c r="O4">
        <v>27</v>
      </c>
      <c r="P4">
        <v>27</v>
      </c>
      <c r="Q4">
        <v>27</v>
      </c>
      <c r="R4">
        <v>27</v>
      </c>
      <c r="S4">
        <v>27</v>
      </c>
      <c r="T4">
        <v>27</v>
      </c>
      <c r="U4">
        <v>27</v>
      </c>
      <c r="V4">
        <v>27</v>
      </c>
      <c r="W4">
        <v>27</v>
      </c>
      <c r="X4">
        <v>27</v>
      </c>
      <c r="Y4">
        <v>27</v>
      </c>
      <c r="Z4">
        <v>27</v>
      </c>
      <c r="AA4">
        <v>27</v>
      </c>
      <c r="AB4">
        <v>27</v>
      </c>
      <c r="AC4">
        <v>27</v>
      </c>
      <c r="AD4">
        <v>27</v>
      </c>
      <c r="AE4">
        <v>27</v>
      </c>
      <c r="AF4">
        <v>27</v>
      </c>
      <c r="AG4">
        <v>27</v>
      </c>
      <c r="AH4">
        <v>27</v>
      </c>
      <c r="AI4">
        <v>27</v>
      </c>
      <c r="AJ4">
        <v>27</v>
      </c>
      <c r="AK4">
        <v>27</v>
      </c>
      <c r="AL4">
        <v>27</v>
      </c>
      <c r="AM4">
        <v>27</v>
      </c>
      <c r="AN4">
        <v>27</v>
      </c>
      <c r="AO4">
        <v>27</v>
      </c>
      <c r="AP4">
        <v>27</v>
      </c>
      <c r="AQ4">
        <v>28</v>
      </c>
      <c r="AR4">
        <v>28</v>
      </c>
      <c r="AS4">
        <v>28</v>
      </c>
      <c r="AT4">
        <v>28</v>
      </c>
      <c r="AU4">
        <v>28</v>
      </c>
      <c r="AV4">
        <v>28</v>
      </c>
      <c r="AW4">
        <v>28</v>
      </c>
      <c r="AX4">
        <v>28</v>
      </c>
      <c r="AY4">
        <v>28</v>
      </c>
      <c r="AZ4">
        <v>28</v>
      </c>
      <c r="BA4">
        <v>28</v>
      </c>
      <c r="BB4">
        <v>28</v>
      </c>
      <c r="BC4">
        <v>28</v>
      </c>
      <c r="BD4">
        <v>28</v>
      </c>
      <c r="BE4">
        <v>28</v>
      </c>
      <c r="BF4">
        <v>28</v>
      </c>
      <c r="BG4">
        <v>28</v>
      </c>
      <c r="BH4">
        <v>28</v>
      </c>
      <c r="BI4">
        <v>28</v>
      </c>
      <c r="BJ4">
        <v>28</v>
      </c>
      <c r="BK4">
        <v>28</v>
      </c>
      <c r="BL4">
        <v>28</v>
      </c>
      <c r="BM4">
        <v>28</v>
      </c>
      <c r="BN4">
        <v>28</v>
      </c>
      <c r="BO4">
        <v>28</v>
      </c>
      <c r="BP4">
        <v>28</v>
      </c>
      <c r="BQ4">
        <v>28</v>
      </c>
      <c r="BR4">
        <v>28</v>
      </c>
      <c r="BS4">
        <v>28</v>
      </c>
      <c r="BT4">
        <v>28</v>
      </c>
      <c r="BU4">
        <v>28</v>
      </c>
      <c r="BV4">
        <v>28</v>
      </c>
      <c r="BW4">
        <v>28</v>
      </c>
      <c r="BX4">
        <v>28</v>
      </c>
      <c r="BY4">
        <v>28</v>
      </c>
      <c r="BZ4">
        <v>28</v>
      </c>
      <c r="CA4">
        <v>28</v>
      </c>
      <c r="CB4">
        <v>28</v>
      </c>
      <c r="CC4">
        <v>28</v>
      </c>
      <c r="CD4">
        <v>28</v>
      </c>
      <c r="CE4">
        <v>28</v>
      </c>
      <c r="CF4">
        <v>28</v>
      </c>
      <c r="CG4">
        <v>28</v>
      </c>
      <c r="CH4">
        <v>28</v>
      </c>
      <c r="CI4">
        <v>28</v>
      </c>
      <c r="CJ4">
        <v>28</v>
      </c>
      <c r="CK4">
        <v>28</v>
      </c>
      <c r="CL4">
        <v>28</v>
      </c>
      <c r="CM4">
        <v>28</v>
      </c>
      <c r="CN4">
        <v>28</v>
      </c>
      <c r="CO4">
        <v>28</v>
      </c>
      <c r="CP4">
        <v>28</v>
      </c>
      <c r="CQ4">
        <v>28</v>
      </c>
      <c r="CR4">
        <v>28</v>
      </c>
      <c r="CS4">
        <v>28</v>
      </c>
      <c r="CT4">
        <v>28</v>
      </c>
      <c r="CU4">
        <v>28</v>
      </c>
      <c r="CV4">
        <v>28</v>
      </c>
      <c r="CW4">
        <v>28</v>
      </c>
      <c r="CX4">
        <v>28</v>
      </c>
      <c r="CY4">
        <v>28</v>
      </c>
      <c r="CZ4">
        <v>28</v>
      </c>
      <c r="DA4">
        <v>28</v>
      </c>
      <c r="DB4">
        <v>28</v>
      </c>
      <c r="DC4">
        <v>28</v>
      </c>
      <c r="DD4">
        <v>28</v>
      </c>
      <c r="DE4">
        <v>28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28</v>
      </c>
      <c r="DN4">
        <v>28</v>
      </c>
      <c r="DO4">
        <v>28</v>
      </c>
      <c r="DP4">
        <v>28</v>
      </c>
      <c r="DQ4">
        <v>28</v>
      </c>
      <c r="DR4">
        <v>28</v>
      </c>
      <c r="DS4">
        <v>28</v>
      </c>
      <c r="DT4">
        <v>28</v>
      </c>
      <c r="DU4">
        <v>28</v>
      </c>
      <c r="DV4">
        <v>28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28</v>
      </c>
      <c r="ET4">
        <v>28</v>
      </c>
      <c r="EU4">
        <v>28</v>
      </c>
      <c r="EV4">
        <v>28</v>
      </c>
      <c r="EW4">
        <v>28</v>
      </c>
      <c r="EX4">
        <v>28</v>
      </c>
      <c r="EY4">
        <v>28</v>
      </c>
      <c r="EZ4">
        <v>28</v>
      </c>
      <c r="FA4">
        <v>28</v>
      </c>
      <c r="FB4">
        <v>28</v>
      </c>
      <c r="FC4">
        <v>28</v>
      </c>
      <c r="FD4">
        <v>28</v>
      </c>
      <c r="FE4">
        <v>28</v>
      </c>
      <c r="FF4">
        <v>28</v>
      </c>
      <c r="FG4">
        <v>28</v>
      </c>
      <c r="FH4">
        <v>28</v>
      </c>
      <c r="FI4">
        <v>28</v>
      </c>
      <c r="FJ4">
        <v>28</v>
      </c>
      <c r="FK4">
        <v>28</v>
      </c>
      <c r="FL4">
        <v>28</v>
      </c>
      <c r="FM4">
        <v>28</v>
      </c>
      <c r="FN4">
        <v>28</v>
      </c>
      <c r="FO4">
        <v>28</v>
      </c>
      <c r="FP4">
        <v>28</v>
      </c>
      <c r="FQ4">
        <v>28</v>
      </c>
      <c r="FR4">
        <v>28</v>
      </c>
      <c r="FS4">
        <v>28</v>
      </c>
      <c r="FT4">
        <v>28</v>
      </c>
      <c r="FU4">
        <v>28</v>
      </c>
      <c r="FV4">
        <v>28</v>
      </c>
      <c r="FW4">
        <v>28</v>
      </c>
      <c r="FX4">
        <v>28</v>
      </c>
      <c r="FY4">
        <v>28</v>
      </c>
      <c r="FZ4">
        <v>28</v>
      </c>
      <c r="GA4">
        <v>30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30</v>
      </c>
      <c r="GH4">
        <v>30</v>
      </c>
      <c r="GI4">
        <v>30</v>
      </c>
      <c r="GJ4">
        <v>30</v>
      </c>
      <c r="GK4">
        <v>30</v>
      </c>
      <c r="GL4">
        <v>30</v>
      </c>
      <c r="GM4">
        <v>30</v>
      </c>
      <c r="GN4">
        <v>30</v>
      </c>
      <c r="GO4">
        <v>30</v>
      </c>
      <c r="GP4">
        <v>30</v>
      </c>
      <c r="GQ4">
        <v>30</v>
      </c>
      <c r="GR4">
        <v>30</v>
      </c>
      <c r="GS4">
        <v>30</v>
      </c>
      <c r="GT4">
        <v>30</v>
      </c>
      <c r="GU4">
        <v>30</v>
      </c>
      <c r="GV4">
        <v>30</v>
      </c>
      <c r="GW4">
        <v>30</v>
      </c>
      <c r="GX4">
        <v>30</v>
      </c>
      <c r="GY4">
        <v>30</v>
      </c>
      <c r="GZ4">
        <v>30</v>
      </c>
      <c r="HA4">
        <v>30</v>
      </c>
      <c r="HB4">
        <v>30</v>
      </c>
      <c r="HC4">
        <v>30</v>
      </c>
      <c r="HD4">
        <v>30</v>
      </c>
      <c r="HE4">
        <v>30</v>
      </c>
      <c r="HF4">
        <v>30</v>
      </c>
      <c r="HG4">
        <v>30</v>
      </c>
      <c r="HH4">
        <v>30</v>
      </c>
      <c r="HI4">
        <v>30</v>
      </c>
      <c r="HJ4">
        <v>30</v>
      </c>
      <c r="HK4">
        <v>30</v>
      </c>
      <c r="HL4">
        <v>30</v>
      </c>
      <c r="HM4">
        <v>30</v>
      </c>
      <c r="HN4">
        <v>30</v>
      </c>
      <c r="HO4">
        <v>30</v>
      </c>
      <c r="HP4">
        <v>30</v>
      </c>
      <c r="HQ4">
        <v>30</v>
      </c>
      <c r="HR4">
        <v>30</v>
      </c>
      <c r="HS4">
        <v>30</v>
      </c>
      <c r="HT4">
        <v>30</v>
      </c>
      <c r="HU4">
        <v>30</v>
      </c>
      <c r="HV4">
        <v>30</v>
      </c>
      <c r="HW4">
        <v>30</v>
      </c>
      <c r="HX4">
        <v>30</v>
      </c>
      <c r="HY4">
        <v>30</v>
      </c>
      <c r="HZ4">
        <v>30</v>
      </c>
      <c r="IA4">
        <v>30</v>
      </c>
      <c r="IB4">
        <v>30</v>
      </c>
      <c r="IC4">
        <v>30</v>
      </c>
      <c r="ID4">
        <v>30</v>
      </c>
      <c r="IE4">
        <v>30</v>
      </c>
      <c r="IF4">
        <v>30</v>
      </c>
      <c r="IG4">
        <v>30</v>
      </c>
      <c r="IH4">
        <v>30</v>
      </c>
      <c r="II4">
        <v>30</v>
      </c>
      <c r="IJ4">
        <v>30</v>
      </c>
      <c r="IK4">
        <v>30</v>
      </c>
      <c r="IL4">
        <v>30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30</v>
      </c>
      <c r="IW4">
        <v>30</v>
      </c>
      <c r="IX4">
        <v>30</v>
      </c>
      <c r="IY4">
        <v>30</v>
      </c>
      <c r="IZ4">
        <v>30</v>
      </c>
      <c r="JA4">
        <v>30</v>
      </c>
      <c r="JB4">
        <v>30</v>
      </c>
      <c r="JC4">
        <v>30</v>
      </c>
      <c r="JD4">
        <v>30</v>
      </c>
      <c r="JE4">
        <v>30</v>
      </c>
      <c r="JF4">
        <v>30</v>
      </c>
      <c r="JG4">
        <v>30</v>
      </c>
      <c r="JH4">
        <v>30</v>
      </c>
      <c r="JI4">
        <v>30</v>
      </c>
      <c r="JJ4">
        <v>30</v>
      </c>
      <c r="JK4">
        <v>30</v>
      </c>
      <c r="JL4">
        <v>30</v>
      </c>
      <c r="JM4">
        <v>30</v>
      </c>
      <c r="JN4">
        <v>30</v>
      </c>
      <c r="JO4">
        <v>30</v>
      </c>
      <c r="JP4">
        <v>30</v>
      </c>
      <c r="JQ4">
        <v>30</v>
      </c>
      <c r="JR4">
        <v>30</v>
      </c>
      <c r="JS4">
        <v>30</v>
      </c>
      <c r="JT4">
        <v>30</v>
      </c>
      <c r="JU4">
        <v>30</v>
      </c>
      <c r="JV4">
        <v>30</v>
      </c>
      <c r="JW4">
        <v>30</v>
      </c>
      <c r="JX4">
        <v>30</v>
      </c>
      <c r="JY4">
        <v>30</v>
      </c>
      <c r="JZ4">
        <v>30</v>
      </c>
      <c r="KA4">
        <v>30</v>
      </c>
      <c r="KB4">
        <v>30</v>
      </c>
      <c r="KC4">
        <v>30</v>
      </c>
      <c r="KD4">
        <v>30</v>
      </c>
      <c r="KE4">
        <v>30</v>
      </c>
      <c r="KF4">
        <v>30</v>
      </c>
      <c r="KG4">
        <v>30</v>
      </c>
      <c r="KH4">
        <v>30</v>
      </c>
      <c r="KI4">
        <v>30</v>
      </c>
      <c r="KJ4">
        <v>30</v>
      </c>
      <c r="KK4">
        <v>30</v>
      </c>
      <c r="KL4">
        <v>30</v>
      </c>
      <c r="KM4">
        <v>30</v>
      </c>
      <c r="KN4">
        <v>30</v>
      </c>
      <c r="KO4">
        <v>30</v>
      </c>
      <c r="KP4">
        <v>30</v>
      </c>
      <c r="KQ4">
        <v>30</v>
      </c>
      <c r="KR4">
        <v>30</v>
      </c>
      <c r="KS4">
        <v>30</v>
      </c>
      <c r="KT4">
        <v>30</v>
      </c>
      <c r="KU4">
        <v>30</v>
      </c>
      <c r="KV4">
        <v>30</v>
      </c>
      <c r="KW4">
        <v>30</v>
      </c>
      <c r="KX4">
        <v>30</v>
      </c>
      <c r="KY4">
        <v>30</v>
      </c>
      <c r="KZ4">
        <v>30</v>
      </c>
      <c r="LA4">
        <v>30</v>
      </c>
      <c r="LB4">
        <v>30</v>
      </c>
      <c r="LC4">
        <v>30</v>
      </c>
      <c r="LD4">
        <v>30</v>
      </c>
      <c r="LE4">
        <v>30</v>
      </c>
      <c r="LF4">
        <v>30</v>
      </c>
      <c r="LG4">
        <v>30</v>
      </c>
      <c r="LH4">
        <v>30</v>
      </c>
      <c r="LI4">
        <v>30</v>
      </c>
      <c r="LJ4">
        <v>30</v>
      </c>
      <c r="LK4">
        <v>30</v>
      </c>
      <c r="LL4">
        <v>30</v>
      </c>
      <c r="LM4">
        <v>30</v>
      </c>
      <c r="LN4">
        <v>30</v>
      </c>
      <c r="LO4">
        <v>30</v>
      </c>
      <c r="LP4">
        <v>30</v>
      </c>
      <c r="LQ4">
        <v>30</v>
      </c>
      <c r="LR4">
        <v>30</v>
      </c>
      <c r="LS4">
        <v>30</v>
      </c>
      <c r="LT4">
        <v>30</v>
      </c>
      <c r="LU4">
        <v>30</v>
      </c>
      <c r="LV4">
        <v>30</v>
      </c>
      <c r="LW4">
        <v>30</v>
      </c>
      <c r="LX4">
        <v>30</v>
      </c>
      <c r="LY4">
        <v>30</v>
      </c>
      <c r="LZ4">
        <v>30</v>
      </c>
      <c r="MA4">
        <v>30</v>
      </c>
      <c r="MB4">
        <v>30</v>
      </c>
      <c r="MC4">
        <v>30</v>
      </c>
      <c r="MD4">
        <v>30</v>
      </c>
      <c r="ME4">
        <v>30</v>
      </c>
      <c r="MF4">
        <v>30</v>
      </c>
      <c r="MG4">
        <v>30</v>
      </c>
      <c r="MH4">
        <v>30</v>
      </c>
      <c r="MI4">
        <v>30</v>
      </c>
      <c r="MJ4">
        <v>30</v>
      </c>
      <c r="MK4">
        <v>30</v>
      </c>
      <c r="ML4">
        <v>30</v>
      </c>
      <c r="MM4">
        <v>30</v>
      </c>
      <c r="MN4">
        <v>30</v>
      </c>
      <c r="MO4">
        <v>30</v>
      </c>
      <c r="MP4">
        <v>30</v>
      </c>
      <c r="MQ4">
        <v>30</v>
      </c>
      <c r="MR4">
        <v>30</v>
      </c>
      <c r="MS4">
        <v>30</v>
      </c>
      <c r="MT4">
        <v>30</v>
      </c>
      <c r="MU4">
        <v>30</v>
      </c>
      <c r="MV4">
        <v>30</v>
      </c>
      <c r="MW4">
        <v>30</v>
      </c>
      <c r="MX4">
        <v>30</v>
      </c>
      <c r="MY4">
        <v>30</v>
      </c>
      <c r="MZ4">
        <v>30</v>
      </c>
      <c r="NA4">
        <v>30</v>
      </c>
      <c r="NB4">
        <v>30</v>
      </c>
      <c r="NC4">
        <v>10547</v>
      </c>
    </row>
    <row r="5" spans="1:367" x14ac:dyDescent="0.3">
      <c r="A5" t="s">
        <v>369</v>
      </c>
      <c r="B5">
        <v>10</v>
      </c>
      <c r="C5">
        <v>5</v>
      </c>
      <c r="D5">
        <v>6</v>
      </c>
      <c r="E5">
        <v>2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2</v>
      </c>
      <c r="AF5">
        <v>3</v>
      </c>
      <c r="AG5">
        <v>2</v>
      </c>
      <c r="AH5">
        <v>2</v>
      </c>
      <c r="AI5">
        <v>2</v>
      </c>
      <c r="AJ5">
        <v>1</v>
      </c>
      <c r="AK5">
        <v>0</v>
      </c>
      <c r="AL5">
        <v>2</v>
      </c>
      <c r="AM5">
        <v>2</v>
      </c>
      <c r="AN5">
        <v>3</v>
      </c>
      <c r="AO5">
        <v>3</v>
      </c>
      <c r="AP5">
        <v>4</v>
      </c>
      <c r="AQ5">
        <v>5</v>
      </c>
      <c r="AR5">
        <v>2</v>
      </c>
      <c r="AS5">
        <v>7</v>
      </c>
      <c r="AT5">
        <v>24</v>
      </c>
      <c r="AU5">
        <v>1</v>
      </c>
      <c r="AV5">
        <v>1</v>
      </c>
      <c r="AW5">
        <v>0</v>
      </c>
      <c r="AX5">
        <v>0</v>
      </c>
      <c r="AY5">
        <v>2</v>
      </c>
      <c r="AZ5">
        <v>3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5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8</v>
      </c>
      <c r="BP5">
        <v>1</v>
      </c>
      <c r="BQ5">
        <v>1</v>
      </c>
      <c r="BR5">
        <v>0</v>
      </c>
      <c r="BS5">
        <v>0</v>
      </c>
      <c r="BT5">
        <v>0</v>
      </c>
      <c r="BU5">
        <v>2</v>
      </c>
      <c r="BV5">
        <v>7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7</v>
      </c>
      <c r="CD5">
        <v>0</v>
      </c>
      <c r="CE5">
        <v>0</v>
      </c>
      <c r="CF5">
        <v>0</v>
      </c>
      <c r="CG5">
        <v>1</v>
      </c>
      <c r="CH5">
        <v>1</v>
      </c>
      <c r="CI5">
        <v>2</v>
      </c>
      <c r="CJ5">
        <v>3</v>
      </c>
      <c r="CK5">
        <v>1</v>
      </c>
      <c r="CL5">
        <v>2</v>
      </c>
      <c r="CM5">
        <v>1</v>
      </c>
      <c r="CN5">
        <v>2</v>
      </c>
      <c r="CO5">
        <v>6</v>
      </c>
      <c r="CP5">
        <v>16</v>
      </c>
      <c r="CQ5">
        <v>21</v>
      </c>
      <c r="CR5">
        <v>6</v>
      </c>
      <c r="CS5">
        <v>4</v>
      </c>
      <c r="CT5">
        <v>8</v>
      </c>
      <c r="CU5">
        <v>7</v>
      </c>
      <c r="CV5">
        <v>10</v>
      </c>
      <c r="CW5">
        <v>11</v>
      </c>
      <c r="CX5">
        <v>25</v>
      </c>
      <c r="CY5">
        <v>6</v>
      </c>
      <c r="CZ5">
        <v>3</v>
      </c>
      <c r="DA5">
        <v>4</v>
      </c>
      <c r="DB5">
        <v>9</v>
      </c>
      <c r="DC5">
        <v>24</v>
      </c>
      <c r="DD5">
        <v>25</v>
      </c>
      <c r="DE5">
        <v>25</v>
      </c>
      <c r="DF5">
        <v>15</v>
      </c>
      <c r="DG5">
        <v>16</v>
      </c>
      <c r="DH5">
        <v>18</v>
      </c>
      <c r="DI5">
        <v>14</v>
      </c>
      <c r="DJ5">
        <v>18</v>
      </c>
      <c r="DK5">
        <v>22</v>
      </c>
      <c r="DL5">
        <v>22</v>
      </c>
      <c r="DM5">
        <v>3</v>
      </c>
      <c r="DN5">
        <v>8</v>
      </c>
      <c r="DO5">
        <v>9</v>
      </c>
      <c r="DP5">
        <v>10</v>
      </c>
      <c r="DQ5">
        <v>9</v>
      </c>
      <c r="DR5">
        <v>25</v>
      </c>
      <c r="DS5">
        <v>24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15</v>
      </c>
      <c r="EA5">
        <v>1</v>
      </c>
      <c r="EB5">
        <v>1</v>
      </c>
      <c r="EC5">
        <v>1</v>
      </c>
      <c r="ED5">
        <v>2</v>
      </c>
      <c r="EE5">
        <v>21</v>
      </c>
      <c r="EF5">
        <v>25</v>
      </c>
      <c r="EG5">
        <v>22</v>
      </c>
      <c r="EH5">
        <v>1</v>
      </c>
      <c r="EI5">
        <v>3</v>
      </c>
      <c r="EJ5">
        <v>3</v>
      </c>
      <c r="EK5">
        <v>2</v>
      </c>
      <c r="EL5">
        <v>3</v>
      </c>
      <c r="EM5">
        <v>5</v>
      </c>
      <c r="EN5">
        <v>21</v>
      </c>
      <c r="EO5">
        <v>3</v>
      </c>
      <c r="EP5">
        <v>0</v>
      </c>
      <c r="EQ5">
        <v>0</v>
      </c>
      <c r="ER5">
        <v>0</v>
      </c>
      <c r="ES5">
        <v>0</v>
      </c>
      <c r="ET5">
        <v>0</v>
      </c>
      <c r="EU5">
        <v>15</v>
      </c>
      <c r="EV5">
        <v>0</v>
      </c>
      <c r="EW5">
        <v>1</v>
      </c>
      <c r="EX5">
        <v>0</v>
      </c>
      <c r="EY5">
        <v>0</v>
      </c>
      <c r="EZ5">
        <v>9</v>
      </c>
      <c r="FA5">
        <v>14</v>
      </c>
      <c r="FB5">
        <v>16</v>
      </c>
      <c r="FC5">
        <v>1</v>
      </c>
      <c r="FD5">
        <v>1</v>
      </c>
      <c r="FE5">
        <v>1</v>
      </c>
      <c r="FF5">
        <v>1</v>
      </c>
      <c r="FG5">
        <v>0</v>
      </c>
      <c r="FH5">
        <v>2</v>
      </c>
      <c r="FI5">
        <v>13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22</v>
      </c>
      <c r="FQ5">
        <v>0</v>
      </c>
      <c r="FR5">
        <v>0</v>
      </c>
      <c r="FS5">
        <v>0</v>
      </c>
      <c r="FT5">
        <v>0</v>
      </c>
      <c r="FU5">
        <v>0</v>
      </c>
      <c r="FV5">
        <v>10</v>
      </c>
      <c r="FW5">
        <v>21</v>
      </c>
      <c r="FX5">
        <v>1</v>
      </c>
      <c r="FY5">
        <v>2</v>
      </c>
      <c r="FZ5">
        <v>2</v>
      </c>
      <c r="GA5">
        <v>2</v>
      </c>
      <c r="GB5">
        <v>0</v>
      </c>
      <c r="GC5">
        <v>2</v>
      </c>
      <c r="GD5">
        <v>17</v>
      </c>
      <c r="GE5">
        <v>4</v>
      </c>
      <c r="GF5">
        <v>1</v>
      </c>
      <c r="GG5">
        <v>1</v>
      </c>
      <c r="GH5">
        <v>1</v>
      </c>
      <c r="GI5">
        <v>1</v>
      </c>
      <c r="GJ5">
        <v>2</v>
      </c>
      <c r="GK5">
        <v>5</v>
      </c>
      <c r="GL5">
        <v>0</v>
      </c>
      <c r="GM5">
        <v>0</v>
      </c>
      <c r="GN5">
        <v>0</v>
      </c>
      <c r="GO5">
        <v>0</v>
      </c>
      <c r="GP5">
        <v>0</v>
      </c>
      <c r="GQ5">
        <v>4</v>
      </c>
      <c r="GR5">
        <v>4</v>
      </c>
      <c r="GS5">
        <v>3</v>
      </c>
      <c r="GT5">
        <v>0</v>
      </c>
      <c r="GU5">
        <v>2</v>
      </c>
      <c r="GV5">
        <v>0</v>
      </c>
      <c r="GW5">
        <v>0</v>
      </c>
      <c r="GX5">
        <v>1</v>
      </c>
      <c r="GY5">
        <v>9</v>
      </c>
      <c r="GZ5">
        <v>4</v>
      </c>
      <c r="HA5">
        <v>1</v>
      </c>
      <c r="HB5">
        <v>1</v>
      </c>
      <c r="HC5">
        <v>2</v>
      </c>
      <c r="HD5">
        <v>3</v>
      </c>
      <c r="HE5">
        <v>9</v>
      </c>
      <c r="HF5">
        <v>8</v>
      </c>
      <c r="HG5">
        <v>2</v>
      </c>
      <c r="HH5">
        <v>0</v>
      </c>
      <c r="HI5">
        <v>0</v>
      </c>
      <c r="HJ5">
        <v>0</v>
      </c>
      <c r="HK5">
        <v>0</v>
      </c>
      <c r="HL5">
        <v>4</v>
      </c>
      <c r="HM5">
        <v>5</v>
      </c>
      <c r="HN5">
        <v>0</v>
      </c>
      <c r="HO5">
        <v>1</v>
      </c>
      <c r="HP5">
        <v>2</v>
      </c>
      <c r="HQ5">
        <v>2</v>
      </c>
      <c r="HR5">
        <v>2</v>
      </c>
      <c r="HS5">
        <v>2</v>
      </c>
      <c r="HT5">
        <v>11</v>
      </c>
      <c r="HU5">
        <v>2</v>
      </c>
      <c r="HV5">
        <v>1</v>
      </c>
      <c r="HW5">
        <v>0</v>
      </c>
      <c r="HX5">
        <v>0</v>
      </c>
      <c r="HY5">
        <v>5</v>
      </c>
      <c r="HZ5">
        <v>22</v>
      </c>
      <c r="IA5">
        <v>25</v>
      </c>
      <c r="IB5">
        <v>4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13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1042</v>
      </c>
    </row>
    <row r="6" spans="1:367" x14ac:dyDescent="0.3">
      <c r="A6" t="s">
        <v>370</v>
      </c>
      <c r="B6" s="1">
        <v>914.5</v>
      </c>
      <c r="C6" s="1">
        <v>436</v>
      </c>
      <c r="D6" s="1">
        <v>515</v>
      </c>
      <c r="E6" s="1">
        <v>168</v>
      </c>
      <c r="F6" s="1">
        <v>0</v>
      </c>
      <c r="G6" s="1">
        <v>0</v>
      </c>
      <c r="H6" s="1">
        <v>0</v>
      </c>
      <c r="I6" s="1">
        <v>0</v>
      </c>
      <c r="J6" s="1">
        <v>177.11</v>
      </c>
      <c r="K6" s="1">
        <v>186.9</v>
      </c>
      <c r="L6" s="1">
        <v>0</v>
      </c>
      <c r="M6" s="1">
        <v>0</v>
      </c>
      <c r="N6" s="1">
        <v>0</v>
      </c>
      <c r="O6" s="1">
        <v>88.11</v>
      </c>
      <c r="P6" s="1">
        <v>0</v>
      </c>
      <c r="Q6" s="1">
        <v>88.11</v>
      </c>
      <c r="R6" s="1">
        <v>88.11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168.21</v>
      </c>
      <c r="Z6" s="1">
        <v>0</v>
      </c>
      <c r="AA6" s="1">
        <v>0</v>
      </c>
      <c r="AB6" s="1">
        <v>58</v>
      </c>
      <c r="AC6" s="1">
        <v>58</v>
      </c>
      <c r="AD6" s="1">
        <v>58</v>
      </c>
      <c r="AE6" s="1">
        <v>117.23</v>
      </c>
      <c r="AF6" s="1">
        <v>205.34</v>
      </c>
      <c r="AG6" s="1">
        <v>117.23</v>
      </c>
      <c r="AH6" s="1">
        <v>129.1</v>
      </c>
      <c r="AI6" s="1">
        <v>129.1</v>
      </c>
      <c r="AJ6" s="1">
        <v>71.099999999999994</v>
      </c>
      <c r="AK6" s="1">
        <v>0</v>
      </c>
      <c r="AL6" s="1">
        <v>159.21</v>
      </c>
      <c r="AM6" s="1">
        <v>158</v>
      </c>
      <c r="AN6" s="1">
        <v>283.91000000000003</v>
      </c>
      <c r="AO6" s="1">
        <v>283.91000000000003</v>
      </c>
      <c r="AP6" s="1">
        <v>370.81</v>
      </c>
      <c r="AQ6" s="1">
        <v>457.71</v>
      </c>
      <c r="AR6" s="1">
        <v>173.8</v>
      </c>
      <c r="AS6" s="1">
        <v>576.57000000000005</v>
      </c>
      <c r="AT6" s="1">
        <v>1965.63</v>
      </c>
      <c r="AU6" s="1">
        <v>65.91</v>
      </c>
      <c r="AV6" s="1">
        <v>65.91</v>
      </c>
      <c r="AW6" s="1">
        <v>0</v>
      </c>
      <c r="AX6" s="1">
        <v>0</v>
      </c>
      <c r="AY6" s="1">
        <v>176.22</v>
      </c>
      <c r="AZ6" s="1">
        <v>254.43</v>
      </c>
      <c r="BA6" s="1">
        <v>97.9</v>
      </c>
      <c r="BB6" s="1">
        <v>0</v>
      </c>
      <c r="BC6" s="1">
        <v>0</v>
      </c>
      <c r="BD6" s="1">
        <v>88.11</v>
      </c>
      <c r="BE6" s="1">
        <v>97.9</v>
      </c>
      <c r="BF6" s="1">
        <v>0</v>
      </c>
      <c r="BG6" s="1">
        <v>88.11</v>
      </c>
      <c r="BH6" s="1">
        <v>447.67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249.2</v>
      </c>
      <c r="BO6" s="1">
        <v>729.8</v>
      </c>
      <c r="BP6" s="1">
        <v>75.650000000000006</v>
      </c>
      <c r="BQ6" s="1">
        <v>75.650000000000006</v>
      </c>
      <c r="BR6" s="1">
        <v>0</v>
      </c>
      <c r="BS6" s="1">
        <v>0</v>
      </c>
      <c r="BT6" s="1">
        <v>0</v>
      </c>
      <c r="BU6" s="1">
        <v>132.55000000000001</v>
      </c>
      <c r="BV6" s="1">
        <v>591.48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226.1</v>
      </c>
      <c r="CC6" s="1">
        <v>793</v>
      </c>
      <c r="CD6" s="1">
        <v>0</v>
      </c>
      <c r="CE6" s="1">
        <v>0</v>
      </c>
      <c r="CF6" s="1">
        <v>0</v>
      </c>
      <c r="CG6" s="1">
        <v>90.82</v>
      </c>
      <c r="CH6" s="1">
        <v>90.82</v>
      </c>
      <c r="CI6" s="1">
        <v>218.15</v>
      </c>
      <c r="CJ6" s="1">
        <v>366.52</v>
      </c>
      <c r="CK6" s="1">
        <v>89.69</v>
      </c>
      <c r="CL6" s="1">
        <v>185.52</v>
      </c>
      <c r="CM6" s="1">
        <v>89.69</v>
      </c>
      <c r="CN6" s="1">
        <v>197.6</v>
      </c>
      <c r="CO6" s="1">
        <v>619.42999999999995</v>
      </c>
      <c r="CP6" s="1">
        <v>1846.06</v>
      </c>
      <c r="CQ6" s="1">
        <v>2337.08</v>
      </c>
      <c r="CR6" s="1">
        <v>601.57000000000005</v>
      </c>
      <c r="CS6" s="1">
        <v>366.03</v>
      </c>
      <c r="CT6" s="1">
        <v>801.87</v>
      </c>
      <c r="CU6" s="1">
        <v>718.61</v>
      </c>
      <c r="CV6" s="1">
        <v>1021.64</v>
      </c>
      <c r="CW6" s="1">
        <v>1202.51</v>
      </c>
      <c r="CX6" s="1">
        <v>2789.99</v>
      </c>
      <c r="CY6" s="1">
        <v>607.49</v>
      </c>
      <c r="CZ6" s="1">
        <v>247.41</v>
      </c>
      <c r="DA6" s="1">
        <v>452.93</v>
      </c>
      <c r="DB6" s="1">
        <v>930.63</v>
      </c>
      <c r="DC6" s="1">
        <v>2942.78</v>
      </c>
      <c r="DD6" s="1">
        <v>2689.22</v>
      </c>
      <c r="DE6" s="1">
        <v>2608.3200000000002</v>
      </c>
      <c r="DF6" s="1">
        <v>1557.01</v>
      </c>
      <c r="DG6" s="1">
        <v>1657.14</v>
      </c>
      <c r="DH6" s="1">
        <v>1819.7</v>
      </c>
      <c r="DI6" s="1">
        <v>1450.09</v>
      </c>
      <c r="DJ6" s="1">
        <v>1856.31</v>
      </c>
      <c r="DK6" s="1">
        <v>2528.71</v>
      </c>
      <c r="DL6" s="1">
        <v>2470.17</v>
      </c>
      <c r="DM6" s="1">
        <v>265.29000000000002</v>
      </c>
      <c r="DN6" s="1">
        <v>758.59</v>
      </c>
      <c r="DO6" s="1">
        <v>866.5</v>
      </c>
      <c r="DP6" s="1">
        <v>959.12</v>
      </c>
      <c r="DQ6" s="1">
        <v>951.34</v>
      </c>
      <c r="DR6" s="1">
        <v>2869.02</v>
      </c>
      <c r="DS6" s="1">
        <v>2782.53</v>
      </c>
      <c r="DT6" s="1">
        <v>81.73</v>
      </c>
      <c r="DU6" s="1">
        <v>0</v>
      </c>
      <c r="DV6" s="1">
        <v>0</v>
      </c>
      <c r="DW6" s="1">
        <v>0</v>
      </c>
      <c r="DX6" s="1">
        <v>0</v>
      </c>
      <c r="DY6" s="1">
        <v>117.81</v>
      </c>
      <c r="DZ6" s="1">
        <v>1771.53</v>
      </c>
      <c r="EA6" s="1">
        <v>107.91</v>
      </c>
      <c r="EB6" s="1">
        <v>107.91</v>
      </c>
      <c r="EC6" s="1">
        <v>107.91</v>
      </c>
      <c r="ED6" s="1">
        <v>215.82</v>
      </c>
      <c r="EE6" s="1">
        <v>2187.25</v>
      </c>
      <c r="EF6" s="1">
        <v>2815.21</v>
      </c>
      <c r="EG6" s="1">
        <v>2507.63</v>
      </c>
      <c r="EH6" s="1">
        <v>77.86</v>
      </c>
      <c r="EI6" s="1">
        <v>293.68</v>
      </c>
      <c r="EJ6" s="1">
        <v>293.68</v>
      </c>
      <c r="EK6" s="1">
        <v>215.82</v>
      </c>
      <c r="EL6" s="1">
        <v>323.73</v>
      </c>
      <c r="EM6" s="1">
        <v>550.82000000000005</v>
      </c>
      <c r="EN6" s="1">
        <v>3043.9</v>
      </c>
      <c r="EO6" s="1">
        <v>313.92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1930.09</v>
      </c>
      <c r="EV6" s="1">
        <v>0</v>
      </c>
      <c r="EW6" s="1">
        <v>98.1</v>
      </c>
      <c r="EX6" s="1">
        <v>0</v>
      </c>
      <c r="EY6" s="1">
        <v>0</v>
      </c>
      <c r="EZ6" s="1">
        <v>896.84</v>
      </c>
      <c r="FA6" s="1">
        <v>1491.06</v>
      </c>
      <c r="FB6" s="1">
        <v>1754</v>
      </c>
      <c r="FC6" s="1">
        <v>109</v>
      </c>
      <c r="FD6" s="1">
        <v>109</v>
      </c>
      <c r="FE6" s="1">
        <v>109</v>
      </c>
      <c r="FF6" s="1">
        <v>109</v>
      </c>
      <c r="FG6" s="1">
        <v>0</v>
      </c>
      <c r="FH6" s="1">
        <v>216.1</v>
      </c>
      <c r="FI6" s="1">
        <v>1418.1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249.81</v>
      </c>
      <c r="FP6" s="1">
        <v>2784.19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1227.46</v>
      </c>
      <c r="FW6" s="1">
        <v>2537.96</v>
      </c>
      <c r="FX6" s="1">
        <v>109</v>
      </c>
      <c r="FY6" s="1">
        <v>186.86</v>
      </c>
      <c r="FZ6" s="1">
        <v>186.86</v>
      </c>
      <c r="GA6" s="1">
        <v>168.24</v>
      </c>
      <c r="GB6" s="1">
        <v>0</v>
      </c>
      <c r="GC6" s="1">
        <v>225.72</v>
      </c>
      <c r="GD6" s="1">
        <v>1964.97</v>
      </c>
      <c r="GE6" s="1">
        <v>411.84</v>
      </c>
      <c r="GF6" s="1">
        <v>98.1</v>
      </c>
      <c r="GG6" s="1">
        <v>98.1</v>
      </c>
      <c r="GH6" s="1">
        <v>98.1</v>
      </c>
      <c r="GI6" s="1">
        <v>98.1</v>
      </c>
      <c r="GJ6" s="1">
        <v>205.2</v>
      </c>
      <c r="GK6" s="1">
        <v>579.15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714</v>
      </c>
      <c r="GR6" s="1">
        <v>440.73</v>
      </c>
      <c r="GS6" s="1">
        <v>313.92</v>
      </c>
      <c r="GT6" s="1">
        <v>0</v>
      </c>
      <c r="GU6" s="1">
        <v>186.12</v>
      </c>
      <c r="GV6" s="1">
        <v>0</v>
      </c>
      <c r="GW6" s="1">
        <v>0</v>
      </c>
      <c r="GX6" s="1">
        <v>117.81</v>
      </c>
      <c r="GY6" s="1">
        <v>1021.02</v>
      </c>
      <c r="GZ6" s="1">
        <v>411.84</v>
      </c>
      <c r="HA6" s="1">
        <v>107.91</v>
      </c>
      <c r="HB6" s="1">
        <v>107.91</v>
      </c>
      <c r="HC6" s="1">
        <v>205.92</v>
      </c>
      <c r="HD6" s="1">
        <v>294.02999999999997</v>
      </c>
      <c r="HE6" s="1">
        <v>1130.22</v>
      </c>
      <c r="HF6" s="1">
        <v>962.33</v>
      </c>
      <c r="HG6" s="1">
        <v>205.92</v>
      </c>
      <c r="HH6" s="1">
        <v>0</v>
      </c>
      <c r="HI6" s="1">
        <v>0</v>
      </c>
      <c r="HJ6" s="1">
        <v>0</v>
      </c>
      <c r="HK6" s="1">
        <v>0</v>
      </c>
      <c r="HL6" s="1">
        <v>471.24</v>
      </c>
      <c r="HM6" s="1">
        <v>589.04999999999995</v>
      </c>
      <c r="HN6" s="1">
        <v>0</v>
      </c>
      <c r="HO6" s="1">
        <v>109</v>
      </c>
      <c r="HP6" s="1">
        <v>228.9</v>
      </c>
      <c r="HQ6" s="1">
        <v>228.9</v>
      </c>
      <c r="HR6" s="1">
        <v>228.9</v>
      </c>
      <c r="HS6" s="1">
        <v>249.9</v>
      </c>
      <c r="HT6" s="1">
        <v>1341.71</v>
      </c>
      <c r="HU6" s="1">
        <v>195.34</v>
      </c>
      <c r="HV6" s="1">
        <v>97.33</v>
      </c>
      <c r="HW6" s="1">
        <v>0</v>
      </c>
      <c r="HX6" s="1">
        <v>0</v>
      </c>
      <c r="HY6" s="1">
        <v>612.70000000000005</v>
      </c>
      <c r="HZ6" s="1">
        <v>2853</v>
      </c>
      <c r="IA6" s="1">
        <v>3202.1</v>
      </c>
      <c r="IB6" s="1">
        <v>515.9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130.9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1402.83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176.22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78.209999999999994</v>
      </c>
      <c r="KE6" s="1">
        <v>78.209999999999994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>
        <v>112976.28</v>
      </c>
    </row>
    <row r="7" spans="1:367" x14ac:dyDescent="0.3">
      <c r="A7" t="s">
        <v>371</v>
      </c>
      <c r="B7" s="1">
        <f t="shared" ref="B7:BM7" si="6">IFERROR(B6/B5,0)</f>
        <v>91.45</v>
      </c>
      <c r="C7" s="1">
        <f t="shared" si="6"/>
        <v>87.2</v>
      </c>
      <c r="D7" s="1">
        <f t="shared" si="6"/>
        <v>85.833333333333329</v>
      </c>
      <c r="E7" s="1">
        <f t="shared" si="6"/>
        <v>84</v>
      </c>
      <c r="F7" s="1">
        <f t="shared" si="6"/>
        <v>0</v>
      </c>
      <c r="G7" s="1">
        <f t="shared" si="6"/>
        <v>0</v>
      </c>
      <c r="H7" s="1">
        <f t="shared" si="6"/>
        <v>0</v>
      </c>
      <c r="I7" s="1">
        <f t="shared" si="6"/>
        <v>0</v>
      </c>
      <c r="J7" s="1">
        <f t="shared" si="6"/>
        <v>88.555000000000007</v>
      </c>
      <c r="K7" s="1">
        <f t="shared" si="6"/>
        <v>93.45</v>
      </c>
      <c r="L7" s="1">
        <f t="shared" si="6"/>
        <v>0</v>
      </c>
      <c r="M7" s="1">
        <f t="shared" si="6"/>
        <v>0</v>
      </c>
      <c r="N7" s="1">
        <f t="shared" si="6"/>
        <v>0</v>
      </c>
      <c r="O7" s="1">
        <f t="shared" si="6"/>
        <v>88.11</v>
      </c>
      <c r="P7" s="1">
        <f t="shared" si="6"/>
        <v>0</v>
      </c>
      <c r="Q7" s="1">
        <f t="shared" si="6"/>
        <v>88.11</v>
      </c>
      <c r="R7" s="1">
        <f t="shared" si="6"/>
        <v>88.11</v>
      </c>
      <c r="S7" s="1">
        <f t="shared" si="6"/>
        <v>0</v>
      </c>
      <c r="T7" s="1">
        <f t="shared" si="6"/>
        <v>0</v>
      </c>
      <c r="U7" s="1">
        <f t="shared" si="6"/>
        <v>0</v>
      </c>
      <c r="V7" s="1">
        <f t="shared" si="6"/>
        <v>0</v>
      </c>
      <c r="W7" s="1">
        <f t="shared" si="6"/>
        <v>0</v>
      </c>
      <c r="X7" s="1">
        <f t="shared" si="6"/>
        <v>0</v>
      </c>
      <c r="Y7" s="1">
        <f t="shared" si="6"/>
        <v>84.105000000000004</v>
      </c>
      <c r="Z7" s="1">
        <f t="shared" si="6"/>
        <v>0</v>
      </c>
      <c r="AA7" s="1">
        <f t="shared" si="6"/>
        <v>0</v>
      </c>
      <c r="AB7" s="1">
        <f t="shared" si="6"/>
        <v>58</v>
      </c>
      <c r="AC7" s="1">
        <f t="shared" si="6"/>
        <v>58</v>
      </c>
      <c r="AD7" s="1">
        <f t="shared" si="6"/>
        <v>58</v>
      </c>
      <c r="AE7" s="1">
        <f t="shared" si="6"/>
        <v>58.615000000000002</v>
      </c>
      <c r="AF7" s="1">
        <f t="shared" si="6"/>
        <v>68.446666666666673</v>
      </c>
      <c r="AG7" s="1">
        <f t="shared" si="6"/>
        <v>58.615000000000002</v>
      </c>
      <c r="AH7" s="1">
        <f t="shared" si="6"/>
        <v>64.55</v>
      </c>
      <c r="AI7" s="1">
        <f t="shared" si="6"/>
        <v>64.55</v>
      </c>
      <c r="AJ7" s="1">
        <f t="shared" si="6"/>
        <v>71.099999999999994</v>
      </c>
      <c r="AK7" s="1">
        <f t="shared" si="6"/>
        <v>0</v>
      </c>
      <c r="AL7" s="1">
        <f t="shared" si="6"/>
        <v>79.605000000000004</v>
      </c>
      <c r="AM7" s="1">
        <f t="shared" si="6"/>
        <v>79</v>
      </c>
      <c r="AN7" s="1">
        <f t="shared" si="6"/>
        <v>94.63666666666667</v>
      </c>
      <c r="AO7" s="1">
        <f t="shared" si="6"/>
        <v>94.63666666666667</v>
      </c>
      <c r="AP7" s="1">
        <f t="shared" si="6"/>
        <v>92.702500000000001</v>
      </c>
      <c r="AQ7" s="1">
        <f t="shared" si="6"/>
        <v>91.542000000000002</v>
      </c>
      <c r="AR7" s="1">
        <f t="shared" si="6"/>
        <v>86.9</v>
      </c>
      <c r="AS7" s="1">
        <f t="shared" si="6"/>
        <v>82.367142857142866</v>
      </c>
      <c r="AT7" s="1">
        <f t="shared" si="6"/>
        <v>81.901250000000005</v>
      </c>
      <c r="AU7" s="1">
        <f t="shared" si="6"/>
        <v>65.91</v>
      </c>
      <c r="AV7" s="1">
        <f t="shared" si="6"/>
        <v>65.91</v>
      </c>
      <c r="AW7" s="1">
        <f t="shared" si="6"/>
        <v>0</v>
      </c>
      <c r="AX7" s="1">
        <f t="shared" si="6"/>
        <v>0</v>
      </c>
      <c r="AY7" s="1">
        <f t="shared" si="6"/>
        <v>88.11</v>
      </c>
      <c r="AZ7" s="1">
        <f t="shared" si="6"/>
        <v>84.81</v>
      </c>
      <c r="BA7" s="1">
        <f t="shared" si="6"/>
        <v>97.9</v>
      </c>
      <c r="BB7" s="1">
        <f t="shared" si="6"/>
        <v>0</v>
      </c>
      <c r="BC7" s="1">
        <f t="shared" si="6"/>
        <v>0</v>
      </c>
      <c r="BD7" s="1">
        <f t="shared" si="6"/>
        <v>88.11</v>
      </c>
      <c r="BE7" s="1">
        <f t="shared" si="6"/>
        <v>97.9</v>
      </c>
      <c r="BF7" s="1">
        <f t="shared" si="6"/>
        <v>0</v>
      </c>
      <c r="BG7" s="1">
        <f t="shared" si="6"/>
        <v>88.11</v>
      </c>
      <c r="BH7" s="1">
        <f t="shared" si="6"/>
        <v>89.534000000000006</v>
      </c>
      <c r="BI7" s="1">
        <f t="shared" si="6"/>
        <v>0</v>
      </c>
      <c r="BJ7" s="1">
        <f t="shared" si="6"/>
        <v>0</v>
      </c>
      <c r="BK7" s="1">
        <f t="shared" si="6"/>
        <v>0</v>
      </c>
      <c r="BL7" s="1">
        <f t="shared" si="6"/>
        <v>0</v>
      </c>
      <c r="BM7" s="1">
        <f t="shared" si="6"/>
        <v>0</v>
      </c>
      <c r="BN7" s="1">
        <f t="shared" ref="BN7:DY7" si="7">IFERROR(BN6/BN5,0)</f>
        <v>83.066666666666663</v>
      </c>
      <c r="BO7" s="1">
        <f t="shared" si="7"/>
        <v>91.224999999999994</v>
      </c>
      <c r="BP7" s="1">
        <f t="shared" si="7"/>
        <v>75.650000000000006</v>
      </c>
      <c r="BQ7" s="1">
        <f t="shared" si="7"/>
        <v>75.650000000000006</v>
      </c>
      <c r="BR7" s="1">
        <f t="shared" si="7"/>
        <v>0</v>
      </c>
      <c r="BS7" s="1">
        <f t="shared" si="7"/>
        <v>0</v>
      </c>
      <c r="BT7" s="1">
        <f t="shared" si="7"/>
        <v>0</v>
      </c>
      <c r="BU7" s="1">
        <f t="shared" si="7"/>
        <v>66.275000000000006</v>
      </c>
      <c r="BV7" s="1">
        <f t="shared" si="7"/>
        <v>84.497142857142862</v>
      </c>
      <c r="BW7" s="1">
        <f t="shared" si="7"/>
        <v>0</v>
      </c>
      <c r="BX7" s="1">
        <f t="shared" si="7"/>
        <v>0</v>
      </c>
      <c r="BY7" s="1">
        <f t="shared" si="7"/>
        <v>0</v>
      </c>
      <c r="BZ7" s="1">
        <f t="shared" si="7"/>
        <v>0</v>
      </c>
      <c r="CA7" s="1">
        <f t="shared" si="7"/>
        <v>0</v>
      </c>
      <c r="CB7" s="1">
        <f t="shared" si="7"/>
        <v>113.05</v>
      </c>
      <c r="CC7" s="1">
        <f t="shared" si="7"/>
        <v>113.28571428571429</v>
      </c>
      <c r="CD7" s="1">
        <f t="shared" si="7"/>
        <v>0</v>
      </c>
      <c r="CE7" s="1">
        <f t="shared" si="7"/>
        <v>0</v>
      </c>
      <c r="CF7" s="1">
        <f t="shared" si="7"/>
        <v>0</v>
      </c>
      <c r="CG7" s="1">
        <f t="shared" si="7"/>
        <v>90.82</v>
      </c>
      <c r="CH7" s="1">
        <f t="shared" si="7"/>
        <v>90.82</v>
      </c>
      <c r="CI7" s="1">
        <f t="shared" si="7"/>
        <v>109.075</v>
      </c>
      <c r="CJ7" s="1">
        <f t="shared" si="7"/>
        <v>122.17333333333333</v>
      </c>
      <c r="CK7" s="1">
        <f t="shared" si="7"/>
        <v>89.69</v>
      </c>
      <c r="CL7" s="1">
        <f t="shared" si="7"/>
        <v>92.76</v>
      </c>
      <c r="CM7" s="1">
        <f t="shared" si="7"/>
        <v>89.69</v>
      </c>
      <c r="CN7" s="1">
        <f t="shared" si="7"/>
        <v>98.8</v>
      </c>
      <c r="CO7" s="1">
        <f t="shared" si="7"/>
        <v>103.23833333333333</v>
      </c>
      <c r="CP7" s="1">
        <f t="shared" si="7"/>
        <v>115.37875</v>
      </c>
      <c r="CQ7" s="1">
        <f t="shared" si="7"/>
        <v>111.2895238095238</v>
      </c>
      <c r="CR7" s="1">
        <f t="shared" si="7"/>
        <v>100.26166666666667</v>
      </c>
      <c r="CS7" s="1">
        <f t="shared" si="7"/>
        <v>91.507499999999993</v>
      </c>
      <c r="CT7" s="1">
        <f t="shared" si="7"/>
        <v>100.23375</v>
      </c>
      <c r="CU7" s="1">
        <f t="shared" si="7"/>
        <v>102.65857142857143</v>
      </c>
      <c r="CV7" s="1">
        <f t="shared" si="7"/>
        <v>102.164</v>
      </c>
      <c r="CW7" s="1">
        <f t="shared" si="7"/>
        <v>109.3190909090909</v>
      </c>
      <c r="CX7" s="1">
        <f t="shared" si="7"/>
        <v>111.5996</v>
      </c>
      <c r="CY7" s="1">
        <f t="shared" si="7"/>
        <v>101.24833333333333</v>
      </c>
      <c r="CZ7" s="1">
        <f t="shared" si="7"/>
        <v>82.47</v>
      </c>
      <c r="DA7" s="1">
        <f t="shared" si="7"/>
        <v>113.2325</v>
      </c>
      <c r="DB7" s="1">
        <f t="shared" si="7"/>
        <v>103.40333333333334</v>
      </c>
      <c r="DC7" s="1">
        <f t="shared" si="7"/>
        <v>122.61583333333334</v>
      </c>
      <c r="DD7" s="1">
        <f t="shared" si="7"/>
        <v>107.5688</v>
      </c>
      <c r="DE7" s="1">
        <f t="shared" si="7"/>
        <v>104.33280000000001</v>
      </c>
      <c r="DF7" s="1">
        <f t="shared" si="7"/>
        <v>103.80066666666667</v>
      </c>
      <c r="DG7" s="1">
        <f t="shared" si="7"/>
        <v>103.57125000000001</v>
      </c>
      <c r="DH7" s="1">
        <f t="shared" si="7"/>
        <v>101.09444444444445</v>
      </c>
      <c r="DI7" s="1">
        <f t="shared" si="7"/>
        <v>103.57785714285714</v>
      </c>
      <c r="DJ7" s="1">
        <f t="shared" si="7"/>
        <v>103.12833333333333</v>
      </c>
      <c r="DK7" s="1">
        <f t="shared" si="7"/>
        <v>114.94136363636363</v>
      </c>
      <c r="DL7" s="1">
        <f t="shared" si="7"/>
        <v>112.28045454545455</v>
      </c>
      <c r="DM7" s="1">
        <f t="shared" si="7"/>
        <v>88.43</v>
      </c>
      <c r="DN7" s="1">
        <f t="shared" si="7"/>
        <v>94.823750000000004</v>
      </c>
      <c r="DO7" s="1">
        <f t="shared" si="7"/>
        <v>96.277777777777771</v>
      </c>
      <c r="DP7" s="1">
        <f t="shared" si="7"/>
        <v>95.912000000000006</v>
      </c>
      <c r="DQ7" s="1">
        <f t="shared" si="7"/>
        <v>105.70444444444445</v>
      </c>
      <c r="DR7" s="1">
        <f t="shared" si="7"/>
        <v>114.7608</v>
      </c>
      <c r="DS7" s="1">
        <f t="shared" si="7"/>
        <v>115.93875000000001</v>
      </c>
      <c r="DT7" s="1">
        <f t="shared" si="7"/>
        <v>81.73</v>
      </c>
      <c r="DU7" s="1">
        <f t="shared" si="7"/>
        <v>0</v>
      </c>
      <c r="DV7" s="1">
        <f t="shared" si="7"/>
        <v>0</v>
      </c>
      <c r="DW7" s="1">
        <f t="shared" si="7"/>
        <v>0</v>
      </c>
      <c r="DX7" s="1">
        <f t="shared" si="7"/>
        <v>0</v>
      </c>
      <c r="DY7" s="1">
        <f t="shared" si="7"/>
        <v>117.81</v>
      </c>
      <c r="DZ7" s="1">
        <f t="shared" ref="DZ7:GK7" si="8">IFERROR(DZ6/DZ5,0)</f>
        <v>118.102</v>
      </c>
      <c r="EA7" s="1">
        <f t="shared" si="8"/>
        <v>107.91</v>
      </c>
      <c r="EB7" s="1">
        <f t="shared" si="8"/>
        <v>107.91</v>
      </c>
      <c r="EC7" s="1">
        <f t="shared" si="8"/>
        <v>107.91</v>
      </c>
      <c r="ED7" s="1">
        <f t="shared" si="8"/>
        <v>107.91</v>
      </c>
      <c r="EE7" s="1">
        <f t="shared" si="8"/>
        <v>104.1547619047619</v>
      </c>
      <c r="EF7" s="1">
        <f t="shared" si="8"/>
        <v>112.6084</v>
      </c>
      <c r="EG7" s="1">
        <f t="shared" si="8"/>
        <v>113.98318181818182</v>
      </c>
      <c r="EH7" s="1">
        <f t="shared" si="8"/>
        <v>77.86</v>
      </c>
      <c r="EI7" s="1">
        <f t="shared" si="8"/>
        <v>97.893333333333331</v>
      </c>
      <c r="EJ7" s="1">
        <f t="shared" si="8"/>
        <v>97.893333333333331</v>
      </c>
      <c r="EK7" s="1">
        <f t="shared" si="8"/>
        <v>107.91</v>
      </c>
      <c r="EL7" s="1">
        <f t="shared" si="8"/>
        <v>107.91000000000001</v>
      </c>
      <c r="EM7" s="1">
        <f t="shared" si="8"/>
        <v>110.16400000000002</v>
      </c>
      <c r="EN7" s="1">
        <f t="shared" si="8"/>
        <v>144.94761904761904</v>
      </c>
      <c r="EO7" s="1">
        <f t="shared" si="8"/>
        <v>104.64</v>
      </c>
      <c r="EP7" s="1">
        <f t="shared" si="8"/>
        <v>0</v>
      </c>
      <c r="EQ7" s="1">
        <f t="shared" si="8"/>
        <v>0</v>
      </c>
      <c r="ER7" s="1">
        <f t="shared" si="8"/>
        <v>0</v>
      </c>
      <c r="ES7" s="1">
        <f t="shared" si="8"/>
        <v>0</v>
      </c>
      <c r="ET7" s="1">
        <f t="shared" si="8"/>
        <v>0</v>
      </c>
      <c r="EU7" s="1">
        <f t="shared" si="8"/>
        <v>128.67266666666666</v>
      </c>
      <c r="EV7" s="1">
        <f t="shared" si="8"/>
        <v>0</v>
      </c>
      <c r="EW7" s="1">
        <f t="shared" si="8"/>
        <v>98.1</v>
      </c>
      <c r="EX7" s="1">
        <f t="shared" si="8"/>
        <v>0</v>
      </c>
      <c r="EY7" s="1">
        <f t="shared" si="8"/>
        <v>0</v>
      </c>
      <c r="EZ7" s="1">
        <f t="shared" si="8"/>
        <v>99.648888888888891</v>
      </c>
      <c r="FA7" s="1">
        <f t="shared" si="8"/>
        <v>106.50428571428571</v>
      </c>
      <c r="FB7" s="1">
        <f t="shared" si="8"/>
        <v>109.625</v>
      </c>
      <c r="FC7" s="1">
        <f t="shared" si="8"/>
        <v>109</v>
      </c>
      <c r="FD7" s="1">
        <f t="shared" si="8"/>
        <v>109</v>
      </c>
      <c r="FE7" s="1">
        <f t="shared" si="8"/>
        <v>109</v>
      </c>
      <c r="FF7" s="1">
        <f t="shared" si="8"/>
        <v>109</v>
      </c>
      <c r="FG7" s="1">
        <f t="shared" si="8"/>
        <v>0</v>
      </c>
      <c r="FH7" s="1">
        <f t="shared" si="8"/>
        <v>108.05</v>
      </c>
      <c r="FI7" s="1">
        <f t="shared" si="8"/>
        <v>109.08461538461538</v>
      </c>
      <c r="FJ7" s="1">
        <f t="shared" si="8"/>
        <v>0</v>
      </c>
      <c r="FK7" s="1">
        <f t="shared" si="8"/>
        <v>0</v>
      </c>
      <c r="FL7" s="1">
        <f t="shared" si="8"/>
        <v>0</v>
      </c>
      <c r="FM7" s="1">
        <f t="shared" si="8"/>
        <v>0</v>
      </c>
      <c r="FN7" s="1">
        <f t="shared" si="8"/>
        <v>0</v>
      </c>
      <c r="FO7" s="1">
        <f t="shared" si="8"/>
        <v>124.905</v>
      </c>
      <c r="FP7" s="1">
        <f t="shared" si="8"/>
        <v>126.55409090909092</v>
      </c>
      <c r="FQ7" s="1">
        <f t="shared" si="8"/>
        <v>0</v>
      </c>
      <c r="FR7" s="1">
        <f t="shared" si="8"/>
        <v>0</v>
      </c>
      <c r="FS7" s="1">
        <f t="shared" si="8"/>
        <v>0</v>
      </c>
      <c r="FT7" s="1">
        <f t="shared" si="8"/>
        <v>0</v>
      </c>
      <c r="FU7" s="1">
        <f t="shared" si="8"/>
        <v>0</v>
      </c>
      <c r="FV7" s="1">
        <f t="shared" si="8"/>
        <v>122.74600000000001</v>
      </c>
      <c r="FW7" s="1">
        <f t="shared" si="8"/>
        <v>120.85523809523809</v>
      </c>
      <c r="FX7" s="1">
        <f t="shared" si="8"/>
        <v>109</v>
      </c>
      <c r="FY7" s="1">
        <f t="shared" si="8"/>
        <v>93.43</v>
      </c>
      <c r="FZ7" s="1">
        <f t="shared" si="8"/>
        <v>93.43</v>
      </c>
      <c r="GA7" s="1">
        <f t="shared" si="8"/>
        <v>84.12</v>
      </c>
      <c r="GB7" s="1">
        <f t="shared" si="8"/>
        <v>0</v>
      </c>
      <c r="GC7" s="1">
        <f t="shared" si="8"/>
        <v>112.86</v>
      </c>
      <c r="GD7" s="1">
        <f t="shared" si="8"/>
        <v>115.5864705882353</v>
      </c>
      <c r="GE7" s="1">
        <f t="shared" si="8"/>
        <v>102.96</v>
      </c>
      <c r="GF7" s="1">
        <f t="shared" si="8"/>
        <v>98.1</v>
      </c>
      <c r="GG7" s="1">
        <f t="shared" si="8"/>
        <v>98.1</v>
      </c>
      <c r="GH7" s="1">
        <f t="shared" si="8"/>
        <v>98.1</v>
      </c>
      <c r="GI7" s="1">
        <f t="shared" si="8"/>
        <v>98.1</v>
      </c>
      <c r="GJ7" s="1">
        <f t="shared" si="8"/>
        <v>102.6</v>
      </c>
      <c r="GK7" s="1">
        <f t="shared" si="8"/>
        <v>115.83</v>
      </c>
      <c r="GL7" s="1">
        <f t="shared" ref="GL7:IW7" si="9">IFERROR(GL6/GL5,0)</f>
        <v>0</v>
      </c>
      <c r="GM7" s="1">
        <f t="shared" si="9"/>
        <v>0</v>
      </c>
      <c r="GN7" s="1">
        <f t="shared" si="9"/>
        <v>0</v>
      </c>
      <c r="GO7" s="1">
        <f t="shared" si="9"/>
        <v>0</v>
      </c>
      <c r="GP7" s="1">
        <f t="shared" si="9"/>
        <v>0</v>
      </c>
      <c r="GQ7" s="1">
        <f t="shared" si="9"/>
        <v>178.5</v>
      </c>
      <c r="GR7" s="1">
        <f t="shared" si="9"/>
        <v>110.1825</v>
      </c>
      <c r="GS7" s="1">
        <f t="shared" si="9"/>
        <v>104.64</v>
      </c>
      <c r="GT7" s="1">
        <f t="shared" si="9"/>
        <v>0</v>
      </c>
      <c r="GU7" s="1">
        <f t="shared" si="9"/>
        <v>93.06</v>
      </c>
      <c r="GV7" s="1">
        <f t="shared" si="9"/>
        <v>0</v>
      </c>
      <c r="GW7" s="1">
        <f t="shared" si="9"/>
        <v>0</v>
      </c>
      <c r="GX7" s="1">
        <f t="shared" si="9"/>
        <v>117.81</v>
      </c>
      <c r="GY7" s="1">
        <f t="shared" si="9"/>
        <v>113.44666666666666</v>
      </c>
      <c r="GZ7" s="1">
        <f t="shared" si="9"/>
        <v>102.96</v>
      </c>
      <c r="HA7" s="1">
        <f t="shared" si="9"/>
        <v>107.91</v>
      </c>
      <c r="HB7" s="1">
        <f t="shared" si="9"/>
        <v>107.91</v>
      </c>
      <c r="HC7" s="1">
        <f t="shared" si="9"/>
        <v>102.96</v>
      </c>
      <c r="HD7" s="1">
        <f t="shared" si="9"/>
        <v>98.009999999999991</v>
      </c>
      <c r="HE7" s="1">
        <f t="shared" si="9"/>
        <v>125.58</v>
      </c>
      <c r="HF7" s="1">
        <f t="shared" si="9"/>
        <v>120.29125000000001</v>
      </c>
      <c r="HG7" s="1">
        <f t="shared" si="9"/>
        <v>102.96</v>
      </c>
      <c r="HH7" s="1">
        <f t="shared" si="9"/>
        <v>0</v>
      </c>
      <c r="HI7" s="1">
        <f t="shared" si="9"/>
        <v>0</v>
      </c>
      <c r="HJ7" s="1">
        <f t="shared" si="9"/>
        <v>0</v>
      </c>
      <c r="HK7" s="1">
        <f t="shared" si="9"/>
        <v>0</v>
      </c>
      <c r="HL7" s="1">
        <f t="shared" si="9"/>
        <v>117.81</v>
      </c>
      <c r="HM7" s="1">
        <f t="shared" si="9"/>
        <v>117.80999999999999</v>
      </c>
      <c r="HN7" s="1">
        <f t="shared" si="9"/>
        <v>0</v>
      </c>
      <c r="HO7" s="1">
        <f t="shared" si="9"/>
        <v>109</v>
      </c>
      <c r="HP7" s="1">
        <f t="shared" si="9"/>
        <v>114.45</v>
      </c>
      <c r="HQ7" s="1">
        <f t="shared" si="9"/>
        <v>114.45</v>
      </c>
      <c r="HR7" s="1">
        <f t="shared" si="9"/>
        <v>114.45</v>
      </c>
      <c r="HS7" s="1">
        <f t="shared" si="9"/>
        <v>124.95</v>
      </c>
      <c r="HT7" s="1">
        <f t="shared" si="9"/>
        <v>121.97363636363637</v>
      </c>
      <c r="HU7" s="1">
        <f t="shared" si="9"/>
        <v>97.67</v>
      </c>
      <c r="HV7" s="1">
        <f t="shared" si="9"/>
        <v>97.33</v>
      </c>
      <c r="HW7" s="1">
        <f t="shared" si="9"/>
        <v>0</v>
      </c>
      <c r="HX7" s="1">
        <f t="shared" si="9"/>
        <v>0</v>
      </c>
      <c r="HY7" s="1">
        <f t="shared" si="9"/>
        <v>122.54</v>
      </c>
      <c r="HZ7" s="1">
        <f t="shared" si="9"/>
        <v>129.68181818181819</v>
      </c>
      <c r="IA7" s="1">
        <f t="shared" si="9"/>
        <v>128.084</v>
      </c>
      <c r="IB7" s="1">
        <f t="shared" si="9"/>
        <v>128.97499999999999</v>
      </c>
      <c r="IC7" s="1">
        <f t="shared" si="9"/>
        <v>0</v>
      </c>
      <c r="ID7" s="1">
        <f t="shared" si="9"/>
        <v>0</v>
      </c>
      <c r="IE7" s="1">
        <f t="shared" si="9"/>
        <v>0</v>
      </c>
      <c r="IF7" s="1">
        <f t="shared" si="9"/>
        <v>0</v>
      </c>
      <c r="IG7" s="1">
        <f t="shared" si="9"/>
        <v>0</v>
      </c>
      <c r="IH7" s="1">
        <f t="shared" si="9"/>
        <v>130.9</v>
      </c>
      <c r="II7" s="1">
        <f t="shared" si="9"/>
        <v>0</v>
      </c>
      <c r="IJ7" s="1">
        <f t="shared" si="9"/>
        <v>0</v>
      </c>
      <c r="IK7" s="1">
        <f t="shared" si="9"/>
        <v>0</v>
      </c>
      <c r="IL7" s="1">
        <f t="shared" si="9"/>
        <v>0</v>
      </c>
      <c r="IM7" s="1">
        <f t="shared" si="9"/>
        <v>0</v>
      </c>
      <c r="IN7" s="1">
        <f t="shared" si="9"/>
        <v>0</v>
      </c>
      <c r="IO7" s="1">
        <f t="shared" si="9"/>
        <v>107.91</v>
      </c>
      <c r="IP7" s="1">
        <f t="shared" si="9"/>
        <v>0</v>
      </c>
      <c r="IQ7" s="1">
        <f t="shared" si="9"/>
        <v>0</v>
      </c>
      <c r="IR7" s="1">
        <f t="shared" si="9"/>
        <v>0</v>
      </c>
      <c r="IS7" s="1">
        <f t="shared" si="9"/>
        <v>0</v>
      </c>
      <c r="IT7" s="1">
        <f t="shared" si="9"/>
        <v>0</v>
      </c>
      <c r="IU7" s="1">
        <f t="shared" si="9"/>
        <v>0</v>
      </c>
      <c r="IV7" s="1">
        <f t="shared" si="9"/>
        <v>0</v>
      </c>
      <c r="IW7" s="1">
        <f t="shared" si="9"/>
        <v>0</v>
      </c>
      <c r="IX7" s="1">
        <f t="shared" ref="IX7:LI7" si="10">IFERROR(IX6/IX5,0)</f>
        <v>0</v>
      </c>
      <c r="IY7" s="1">
        <f t="shared" si="10"/>
        <v>0</v>
      </c>
      <c r="IZ7" s="1">
        <f t="shared" si="10"/>
        <v>0</v>
      </c>
      <c r="JA7" s="1">
        <f t="shared" si="10"/>
        <v>0</v>
      </c>
      <c r="JB7" s="1">
        <f t="shared" si="10"/>
        <v>0</v>
      </c>
      <c r="JC7" s="1">
        <f t="shared" si="10"/>
        <v>0</v>
      </c>
      <c r="JD7" s="1">
        <f t="shared" si="10"/>
        <v>0</v>
      </c>
      <c r="JE7" s="1">
        <f t="shared" si="10"/>
        <v>0</v>
      </c>
      <c r="JF7" s="1">
        <f t="shared" si="10"/>
        <v>0</v>
      </c>
      <c r="JG7" s="1">
        <f t="shared" si="10"/>
        <v>0</v>
      </c>
      <c r="JH7" s="1">
        <f t="shared" si="10"/>
        <v>0</v>
      </c>
      <c r="JI7" s="1">
        <f t="shared" si="10"/>
        <v>0</v>
      </c>
      <c r="JJ7" s="1">
        <f t="shared" si="10"/>
        <v>0</v>
      </c>
      <c r="JK7" s="1">
        <f t="shared" si="10"/>
        <v>0</v>
      </c>
      <c r="JL7" s="1">
        <f t="shared" si="10"/>
        <v>0</v>
      </c>
      <c r="JM7" s="1">
        <f t="shared" si="10"/>
        <v>0</v>
      </c>
      <c r="JN7" s="1">
        <f t="shared" si="10"/>
        <v>0</v>
      </c>
      <c r="JO7" s="1">
        <f t="shared" si="10"/>
        <v>0</v>
      </c>
      <c r="JP7" s="1">
        <f t="shared" si="10"/>
        <v>0</v>
      </c>
      <c r="JQ7" s="1">
        <f t="shared" si="10"/>
        <v>88.11</v>
      </c>
      <c r="JR7" s="1">
        <f t="shared" si="10"/>
        <v>0</v>
      </c>
      <c r="JS7" s="1">
        <f t="shared" si="10"/>
        <v>0</v>
      </c>
      <c r="JT7" s="1">
        <f t="shared" si="10"/>
        <v>0</v>
      </c>
      <c r="JU7" s="1">
        <f t="shared" si="10"/>
        <v>0</v>
      </c>
      <c r="JV7" s="1">
        <f t="shared" si="10"/>
        <v>0</v>
      </c>
      <c r="JW7" s="1">
        <f t="shared" si="10"/>
        <v>0</v>
      </c>
      <c r="JX7" s="1">
        <f t="shared" si="10"/>
        <v>0</v>
      </c>
      <c r="JY7" s="1">
        <f t="shared" si="10"/>
        <v>0</v>
      </c>
      <c r="JZ7" s="1">
        <f t="shared" si="10"/>
        <v>0</v>
      </c>
      <c r="KA7" s="1">
        <f t="shared" si="10"/>
        <v>0</v>
      </c>
      <c r="KB7" s="1">
        <f t="shared" si="10"/>
        <v>0</v>
      </c>
      <c r="KC7" s="1">
        <f t="shared" si="10"/>
        <v>0</v>
      </c>
      <c r="KD7" s="1">
        <f t="shared" si="10"/>
        <v>78.209999999999994</v>
      </c>
      <c r="KE7" s="1">
        <f t="shared" si="10"/>
        <v>78.209999999999994</v>
      </c>
      <c r="KF7" s="1">
        <f t="shared" si="10"/>
        <v>0</v>
      </c>
      <c r="KG7" s="1">
        <f t="shared" si="10"/>
        <v>0</v>
      </c>
      <c r="KH7" s="1">
        <f t="shared" si="10"/>
        <v>0</v>
      </c>
      <c r="KI7" s="1">
        <f t="shared" si="10"/>
        <v>0</v>
      </c>
      <c r="KJ7" s="1">
        <f t="shared" si="10"/>
        <v>0</v>
      </c>
      <c r="KK7" s="1">
        <f t="shared" si="10"/>
        <v>0</v>
      </c>
      <c r="KL7" s="1">
        <f t="shared" si="10"/>
        <v>0</v>
      </c>
      <c r="KM7" s="1">
        <f t="shared" si="10"/>
        <v>0</v>
      </c>
      <c r="KN7" s="1">
        <f t="shared" si="10"/>
        <v>0</v>
      </c>
      <c r="KO7" s="1">
        <f t="shared" si="10"/>
        <v>0</v>
      </c>
      <c r="KP7" s="1">
        <f t="shared" si="10"/>
        <v>0</v>
      </c>
      <c r="KQ7" s="1">
        <f t="shared" si="10"/>
        <v>0</v>
      </c>
      <c r="KR7" s="1">
        <f t="shared" si="10"/>
        <v>0</v>
      </c>
      <c r="KS7" s="1">
        <f t="shared" si="10"/>
        <v>0</v>
      </c>
      <c r="KT7" s="1">
        <f t="shared" si="10"/>
        <v>0</v>
      </c>
      <c r="KU7" s="1">
        <f t="shared" si="10"/>
        <v>0</v>
      </c>
      <c r="KV7" s="1">
        <f t="shared" si="10"/>
        <v>0</v>
      </c>
      <c r="KW7" s="1">
        <f t="shared" si="10"/>
        <v>0</v>
      </c>
      <c r="KX7" s="1">
        <f t="shared" si="10"/>
        <v>0</v>
      </c>
      <c r="KY7" s="1">
        <f t="shared" si="10"/>
        <v>0</v>
      </c>
      <c r="KZ7" s="1">
        <f t="shared" si="10"/>
        <v>0</v>
      </c>
      <c r="LA7" s="1">
        <f t="shared" si="10"/>
        <v>0</v>
      </c>
      <c r="LB7" s="1">
        <f t="shared" si="10"/>
        <v>0</v>
      </c>
      <c r="LC7" s="1">
        <f t="shared" si="10"/>
        <v>0</v>
      </c>
      <c r="LD7" s="1">
        <f t="shared" si="10"/>
        <v>0</v>
      </c>
      <c r="LE7" s="1">
        <f t="shared" si="10"/>
        <v>0</v>
      </c>
      <c r="LF7" s="1">
        <f t="shared" si="10"/>
        <v>0</v>
      </c>
      <c r="LG7" s="1">
        <f t="shared" si="10"/>
        <v>0</v>
      </c>
      <c r="LH7" s="1">
        <f t="shared" si="10"/>
        <v>0</v>
      </c>
      <c r="LI7" s="1">
        <f t="shared" si="10"/>
        <v>0</v>
      </c>
      <c r="LJ7" s="1">
        <f t="shared" ref="LJ7:NB7" si="11">IFERROR(LJ6/LJ5,0)</f>
        <v>0</v>
      </c>
      <c r="LK7" s="1">
        <f t="shared" si="11"/>
        <v>0</v>
      </c>
      <c r="LL7" s="1">
        <f t="shared" si="11"/>
        <v>0</v>
      </c>
      <c r="LM7" s="1">
        <f t="shared" si="11"/>
        <v>0</v>
      </c>
      <c r="LN7" s="1">
        <f t="shared" si="11"/>
        <v>0</v>
      </c>
      <c r="LO7" s="1">
        <f t="shared" si="11"/>
        <v>0</v>
      </c>
      <c r="LP7" s="1">
        <f t="shared" si="11"/>
        <v>0</v>
      </c>
      <c r="LQ7" s="1">
        <f t="shared" si="11"/>
        <v>0</v>
      </c>
      <c r="LR7" s="1">
        <f t="shared" si="11"/>
        <v>0</v>
      </c>
      <c r="LS7" s="1">
        <f t="shared" si="11"/>
        <v>0</v>
      </c>
      <c r="LT7" s="1">
        <f t="shared" si="11"/>
        <v>0</v>
      </c>
      <c r="LU7" s="1">
        <f t="shared" si="11"/>
        <v>0</v>
      </c>
      <c r="LV7" s="1">
        <f t="shared" si="11"/>
        <v>0</v>
      </c>
      <c r="LW7" s="1">
        <f t="shared" si="11"/>
        <v>0</v>
      </c>
      <c r="LX7" s="1">
        <f t="shared" si="11"/>
        <v>0</v>
      </c>
      <c r="LY7" s="1">
        <f t="shared" si="11"/>
        <v>0</v>
      </c>
      <c r="LZ7" s="1">
        <f t="shared" si="11"/>
        <v>0</v>
      </c>
      <c r="MA7" s="1">
        <f t="shared" si="11"/>
        <v>0</v>
      </c>
      <c r="MB7" s="1">
        <f t="shared" si="11"/>
        <v>0</v>
      </c>
      <c r="MC7" s="1">
        <f t="shared" si="11"/>
        <v>0</v>
      </c>
      <c r="MD7" s="1">
        <f t="shared" si="11"/>
        <v>0</v>
      </c>
      <c r="ME7" s="1">
        <f t="shared" si="11"/>
        <v>0</v>
      </c>
      <c r="MF7" s="1">
        <f t="shared" si="11"/>
        <v>0</v>
      </c>
      <c r="MG7" s="1">
        <f t="shared" si="11"/>
        <v>0</v>
      </c>
      <c r="MH7" s="1">
        <f t="shared" si="11"/>
        <v>0</v>
      </c>
      <c r="MI7" s="1">
        <f t="shared" si="11"/>
        <v>0</v>
      </c>
      <c r="MJ7" s="1">
        <f t="shared" si="11"/>
        <v>0</v>
      </c>
      <c r="MK7" s="1">
        <f t="shared" si="11"/>
        <v>0</v>
      </c>
      <c r="ML7" s="1">
        <f t="shared" si="11"/>
        <v>0</v>
      </c>
      <c r="MM7" s="1">
        <f t="shared" si="11"/>
        <v>0</v>
      </c>
      <c r="MN7" s="1">
        <f t="shared" si="11"/>
        <v>0</v>
      </c>
      <c r="MO7" s="1">
        <f t="shared" si="11"/>
        <v>0</v>
      </c>
      <c r="MP7" s="1">
        <f t="shared" si="11"/>
        <v>0</v>
      </c>
      <c r="MQ7" s="1">
        <f t="shared" si="11"/>
        <v>0</v>
      </c>
      <c r="MR7" s="1">
        <f t="shared" si="11"/>
        <v>0</v>
      </c>
      <c r="MS7" s="1">
        <f t="shared" si="11"/>
        <v>0</v>
      </c>
      <c r="MT7" s="1">
        <f t="shared" si="11"/>
        <v>0</v>
      </c>
      <c r="MU7" s="1">
        <f t="shared" si="11"/>
        <v>0</v>
      </c>
      <c r="MV7" s="1">
        <f t="shared" si="11"/>
        <v>0</v>
      </c>
      <c r="MW7" s="1">
        <f t="shared" si="11"/>
        <v>0</v>
      </c>
      <c r="MX7" s="1">
        <f t="shared" si="11"/>
        <v>0</v>
      </c>
      <c r="MY7" s="1">
        <f t="shared" si="11"/>
        <v>0</v>
      </c>
      <c r="MZ7" s="1">
        <f t="shared" si="11"/>
        <v>0</v>
      </c>
      <c r="NA7" s="1">
        <f t="shared" si="11"/>
        <v>0</v>
      </c>
      <c r="NB7" s="1">
        <f t="shared" si="11"/>
        <v>0</v>
      </c>
      <c r="NC7">
        <v>108.42</v>
      </c>
    </row>
    <row r="8" spans="1:367" x14ac:dyDescent="0.3">
      <c r="A8" t="s">
        <v>372</v>
      </c>
      <c r="B8">
        <v>18</v>
      </c>
      <c r="C8">
        <v>8</v>
      </c>
      <c r="D8">
        <v>9</v>
      </c>
      <c r="E8">
        <v>3</v>
      </c>
      <c r="F8">
        <v>0</v>
      </c>
      <c r="G8">
        <v>0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2</v>
      </c>
      <c r="AC8">
        <v>2</v>
      </c>
      <c r="AD8">
        <v>2</v>
      </c>
      <c r="AE8">
        <v>3</v>
      </c>
      <c r="AF8">
        <v>5</v>
      </c>
      <c r="AG8">
        <v>3</v>
      </c>
      <c r="AH8">
        <v>3</v>
      </c>
      <c r="AI8">
        <v>3</v>
      </c>
      <c r="AJ8">
        <v>1</v>
      </c>
      <c r="AK8">
        <v>0</v>
      </c>
      <c r="AL8">
        <v>3</v>
      </c>
      <c r="AM8">
        <v>2</v>
      </c>
      <c r="AN8">
        <v>3</v>
      </c>
      <c r="AO8">
        <v>3</v>
      </c>
      <c r="AP8">
        <v>4</v>
      </c>
      <c r="AQ8">
        <v>5</v>
      </c>
      <c r="AR8">
        <v>2</v>
      </c>
      <c r="AS8">
        <v>12</v>
      </c>
      <c r="AT8">
        <v>43</v>
      </c>
      <c r="AU8">
        <v>2</v>
      </c>
      <c r="AV8">
        <v>2</v>
      </c>
      <c r="AW8">
        <v>0</v>
      </c>
      <c r="AX8">
        <v>0</v>
      </c>
      <c r="AY8">
        <v>4</v>
      </c>
      <c r="AZ8">
        <v>5</v>
      </c>
      <c r="BA8">
        <v>2</v>
      </c>
      <c r="BB8">
        <v>0</v>
      </c>
      <c r="BC8">
        <v>0</v>
      </c>
      <c r="BD8">
        <v>2</v>
      </c>
      <c r="BE8">
        <v>2</v>
      </c>
      <c r="BF8">
        <v>0</v>
      </c>
      <c r="BG8">
        <v>2</v>
      </c>
      <c r="BH8">
        <v>10</v>
      </c>
      <c r="BI8">
        <v>0</v>
      </c>
      <c r="BJ8">
        <v>0</v>
      </c>
      <c r="BK8">
        <v>0</v>
      </c>
      <c r="BL8">
        <v>0</v>
      </c>
      <c r="BM8">
        <v>0</v>
      </c>
      <c r="BN8">
        <v>5</v>
      </c>
      <c r="BO8">
        <v>15</v>
      </c>
      <c r="BP8">
        <v>2</v>
      </c>
      <c r="BQ8">
        <v>2</v>
      </c>
      <c r="BR8">
        <v>0</v>
      </c>
      <c r="BS8">
        <v>0</v>
      </c>
      <c r="BT8">
        <v>0</v>
      </c>
      <c r="BU8">
        <v>3</v>
      </c>
      <c r="BV8">
        <v>12</v>
      </c>
      <c r="BW8">
        <v>0</v>
      </c>
      <c r="BX8">
        <v>0</v>
      </c>
      <c r="BY8">
        <v>0</v>
      </c>
      <c r="BZ8">
        <v>0</v>
      </c>
      <c r="CA8">
        <v>0</v>
      </c>
      <c r="CB8">
        <v>3</v>
      </c>
      <c r="CC8">
        <v>9</v>
      </c>
      <c r="CD8">
        <v>0</v>
      </c>
      <c r="CE8">
        <v>0</v>
      </c>
      <c r="CF8">
        <v>0</v>
      </c>
      <c r="CG8">
        <v>2</v>
      </c>
      <c r="CH8">
        <v>2</v>
      </c>
      <c r="CI8">
        <v>4</v>
      </c>
      <c r="CJ8">
        <v>6</v>
      </c>
      <c r="CK8">
        <v>2</v>
      </c>
      <c r="CL8">
        <v>3</v>
      </c>
      <c r="CM8">
        <v>2</v>
      </c>
      <c r="CN8">
        <v>4</v>
      </c>
      <c r="CO8">
        <v>12</v>
      </c>
      <c r="CP8">
        <v>31</v>
      </c>
      <c r="CQ8">
        <v>42</v>
      </c>
      <c r="CR8">
        <v>12</v>
      </c>
      <c r="CS8">
        <v>7</v>
      </c>
      <c r="CT8">
        <v>15</v>
      </c>
      <c r="CU8">
        <v>12</v>
      </c>
      <c r="CV8">
        <v>16</v>
      </c>
      <c r="CW8">
        <v>17</v>
      </c>
      <c r="CX8">
        <v>43</v>
      </c>
      <c r="CY8">
        <v>9</v>
      </c>
      <c r="CZ8">
        <v>3</v>
      </c>
      <c r="DA8">
        <v>7</v>
      </c>
      <c r="DB8">
        <v>14</v>
      </c>
      <c r="DC8">
        <v>34</v>
      </c>
      <c r="DD8">
        <v>45</v>
      </c>
      <c r="DE8">
        <v>45</v>
      </c>
      <c r="DF8">
        <v>23</v>
      </c>
      <c r="DG8">
        <v>23</v>
      </c>
      <c r="DH8">
        <v>24</v>
      </c>
      <c r="DI8">
        <v>20</v>
      </c>
      <c r="DJ8">
        <v>25</v>
      </c>
      <c r="DK8">
        <v>37</v>
      </c>
      <c r="DL8">
        <v>40</v>
      </c>
      <c r="DM8">
        <v>4</v>
      </c>
      <c r="DN8">
        <v>12</v>
      </c>
      <c r="DO8">
        <v>14</v>
      </c>
      <c r="DP8">
        <v>15</v>
      </c>
      <c r="DQ8">
        <v>17</v>
      </c>
      <c r="DR8">
        <v>46</v>
      </c>
      <c r="DS8">
        <v>45</v>
      </c>
      <c r="DT8">
        <v>2</v>
      </c>
      <c r="DU8">
        <v>0</v>
      </c>
      <c r="DV8">
        <v>0</v>
      </c>
      <c r="DW8">
        <v>0</v>
      </c>
      <c r="DX8">
        <v>0</v>
      </c>
      <c r="DY8">
        <v>2</v>
      </c>
      <c r="DZ8">
        <v>29</v>
      </c>
      <c r="EA8">
        <v>2</v>
      </c>
      <c r="EB8">
        <v>2</v>
      </c>
      <c r="EC8">
        <v>2</v>
      </c>
      <c r="ED8">
        <v>4</v>
      </c>
      <c r="EE8">
        <v>39</v>
      </c>
      <c r="EF8">
        <v>46</v>
      </c>
      <c r="EG8">
        <v>42</v>
      </c>
      <c r="EH8">
        <v>1</v>
      </c>
      <c r="EI8">
        <v>3</v>
      </c>
      <c r="EJ8">
        <v>3</v>
      </c>
      <c r="EK8">
        <v>2</v>
      </c>
      <c r="EL8">
        <v>4</v>
      </c>
      <c r="EM8">
        <v>8</v>
      </c>
      <c r="EN8">
        <v>42</v>
      </c>
      <c r="EO8">
        <v>6</v>
      </c>
      <c r="EP8">
        <v>0</v>
      </c>
      <c r="EQ8">
        <v>0</v>
      </c>
      <c r="ER8">
        <v>0</v>
      </c>
      <c r="ES8">
        <v>0</v>
      </c>
      <c r="ET8">
        <v>0</v>
      </c>
      <c r="EU8">
        <v>27</v>
      </c>
      <c r="EV8">
        <v>0</v>
      </c>
      <c r="EW8">
        <v>2</v>
      </c>
      <c r="EX8">
        <v>0</v>
      </c>
      <c r="EY8">
        <v>0</v>
      </c>
      <c r="EZ8">
        <v>18</v>
      </c>
      <c r="FA8">
        <v>27</v>
      </c>
      <c r="FB8">
        <v>32</v>
      </c>
      <c r="FC8">
        <v>2</v>
      </c>
      <c r="FD8">
        <v>1</v>
      </c>
      <c r="FE8">
        <v>1</v>
      </c>
      <c r="FF8">
        <v>2</v>
      </c>
      <c r="FG8">
        <v>0</v>
      </c>
      <c r="FH8">
        <v>4</v>
      </c>
      <c r="FI8">
        <v>24</v>
      </c>
      <c r="FJ8">
        <v>0</v>
      </c>
      <c r="FK8">
        <v>0</v>
      </c>
      <c r="FL8">
        <v>0</v>
      </c>
      <c r="FM8">
        <v>0</v>
      </c>
      <c r="FN8">
        <v>0</v>
      </c>
      <c r="FO8">
        <v>4</v>
      </c>
      <c r="FP8">
        <v>43</v>
      </c>
      <c r="FQ8">
        <v>0</v>
      </c>
      <c r="FR8">
        <v>0</v>
      </c>
      <c r="FS8">
        <v>0</v>
      </c>
      <c r="FT8">
        <v>0</v>
      </c>
      <c r="FU8">
        <v>0</v>
      </c>
      <c r="FV8">
        <v>20</v>
      </c>
      <c r="FW8">
        <v>40</v>
      </c>
      <c r="FX8">
        <v>1</v>
      </c>
      <c r="FY8">
        <v>2</v>
      </c>
      <c r="FZ8">
        <v>2</v>
      </c>
      <c r="GA8">
        <v>3</v>
      </c>
      <c r="GB8">
        <v>0</v>
      </c>
      <c r="GC8">
        <v>3</v>
      </c>
      <c r="GD8">
        <v>29</v>
      </c>
      <c r="GE8">
        <v>5</v>
      </c>
      <c r="GF8">
        <v>2</v>
      </c>
      <c r="GG8">
        <v>2</v>
      </c>
      <c r="GH8">
        <v>2</v>
      </c>
      <c r="GI8">
        <v>2</v>
      </c>
      <c r="GJ8">
        <v>3</v>
      </c>
      <c r="GK8">
        <v>9</v>
      </c>
      <c r="GL8">
        <v>0</v>
      </c>
      <c r="GM8">
        <v>0</v>
      </c>
      <c r="GN8">
        <v>0</v>
      </c>
      <c r="GO8">
        <v>0</v>
      </c>
      <c r="GP8">
        <v>0</v>
      </c>
      <c r="GQ8">
        <v>8</v>
      </c>
      <c r="GR8">
        <v>8</v>
      </c>
      <c r="GS8">
        <v>6</v>
      </c>
      <c r="GT8">
        <v>0</v>
      </c>
      <c r="GU8">
        <v>3</v>
      </c>
      <c r="GV8">
        <v>0</v>
      </c>
      <c r="GW8">
        <v>0</v>
      </c>
      <c r="GX8">
        <v>2</v>
      </c>
      <c r="GY8">
        <v>18</v>
      </c>
      <c r="GZ8">
        <v>8</v>
      </c>
      <c r="HA8">
        <v>2</v>
      </c>
      <c r="HB8">
        <v>2</v>
      </c>
      <c r="HC8">
        <v>3</v>
      </c>
      <c r="HD8">
        <v>3</v>
      </c>
      <c r="HE8">
        <v>14</v>
      </c>
      <c r="HF8">
        <v>14</v>
      </c>
      <c r="HG8">
        <v>2</v>
      </c>
      <c r="HH8">
        <v>0</v>
      </c>
      <c r="HI8">
        <v>0</v>
      </c>
      <c r="HJ8">
        <v>0</v>
      </c>
      <c r="HK8">
        <v>0</v>
      </c>
      <c r="HL8">
        <v>8</v>
      </c>
      <c r="HM8">
        <v>9</v>
      </c>
      <c r="HN8">
        <v>0</v>
      </c>
      <c r="HO8">
        <v>2</v>
      </c>
      <c r="HP8">
        <v>4</v>
      </c>
      <c r="HQ8">
        <v>4</v>
      </c>
      <c r="HR8">
        <v>4</v>
      </c>
      <c r="HS8">
        <v>4</v>
      </c>
      <c r="HT8">
        <v>21</v>
      </c>
      <c r="HU8">
        <v>3</v>
      </c>
      <c r="HV8">
        <v>2</v>
      </c>
      <c r="HW8">
        <v>0</v>
      </c>
      <c r="HX8">
        <v>0</v>
      </c>
      <c r="HY8">
        <v>9</v>
      </c>
      <c r="HZ8">
        <v>38</v>
      </c>
      <c r="IA8">
        <v>42</v>
      </c>
      <c r="IB8">
        <v>8</v>
      </c>
      <c r="IC8">
        <v>0</v>
      </c>
      <c r="ID8">
        <v>0</v>
      </c>
      <c r="IE8">
        <v>0</v>
      </c>
      <c r="IF8">
        <v>0</v>
      </c>
      <c r="IG8">
        <v>0</v>
      </c>
      <c r="IH8">
        <v>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24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4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1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1800</v>
      </c>
    </row>
    <row r="9" spans="1:367" x14ac:dyDescent="0.3">
      <c r="A9" t="s">
        <v>373</v>
      </c>
      <c r="B9" s="1">
        <f t="shared" ref="B9:BM9" si="12">B6</f>
        <v>914.5</v>
      </c>
      <c r="C9" s="1">
        <f t="shared" si="12"/>
        <v>436</v>
      </c>
      <c r="D9" s="1">
        <f t="shared" si="12"/>
        <v>515</v>
      </c>
      <c r="E9" s="1">
        <f t="shared" si="12"/>
        <v>168</v>
      </c>
      <c r="F9" s="1">
        <f t="shared" si="12"/>
        <v>0</v>
      </c>
      <c r="G9" s="1">
        <f t="shared" si="12"/>
        <v>0</v>
      </c>
      <c r="H9" s="1">
        <f t="shared" si="12"/>
        <v>0</v>
      </c>
      <c r="I9" s="1">
        <f t="shared" si="12"/>
        <v>0</v>
      </c>
      <c r="J9" s="1">
        <f t="shared" si="12"/>
        <v>177.11</v>
      </c>
      <c r="K9" s="1">
        <f t="shared" si="12"/>
        <v>186.9</v>
      </c>
      <c r="L9" s="1">
        <f t="shared" si="12"/>
        <v>0</v>
      </c>
      <c r="M9" s="1">
        <f t="shared" si="12"/>
        <v>0</v>
      </c>
      <c r="N9" s="1">
        <f t="shared" si="12"/>
        <v>0</v>
      </c>
      <c r="O9" s="1">
        <f t="shared" si="12"/>
        <v>88.11</v>
      </c>
      <c r="P9" s="1">
        <f t="shared" si="12"/>
        <v>0</v>
      </c>
      <c r="Q9" s="1">
        <f t="shared" si="12"/>
        <v>88.11</v>
      </c>
      <c r="R9" s="1">
        <f t="shared" si="12"/>
        <v>88.11</v>
      </c>
      <c r="S9" s="1">
        <f t="shared" si="12"/>
        <v>0</v>
      </c>
      <c r="T9" s="1">
        <f t="shared" si="12"/>
        <v>0</v>
      </c>
      <c r="U9" s="1">
        <f t="shared" si="12"/>
        <v>0</v>
      </c>
      <c r="V9" s="1">
        <f t="shared" si="12"/>
        <v>0</v>
      </c>
      <c r="W9" s="1">
        <f t="shared" si="12"/>
        <v>0</v>
      </c>
      <c r="X9" s="1">
        <f t="shared" si="12"/>
        <v>0</v>
      </c>
      <c r="Y9" s="1">
        <f t="shared" si="12"/>
        <v>168.21</v>
      </c>
      <c r="Z9" s="1">
        <f t="shared" si="12"/>
        <v>0</v>
      </c>
      <c r="AA9" s="1">
        <f t="shared" si="12"/>
        <v>0</v>
      </c>
      <c r="AB9" s="1">
        <f t="shared" si="12"/>
        <v>58</v>
      </c>
      <c r="AC9" s="1">
        <f t="shared" si="12"/>
        <v>58</v>
      </c>
      <c r="AD9" s="1">
        <f t="shared" si="12"/>
        <v>58</v>
      </c>
      <c r="AE9" s="1">
        <f t="shared" si="12"/>
        <v>117.23</v>
      </c>
      <c r="AF9" s="1">
        <f t="shared" si="12"/>
        <v>205.34</v>
      </c>
      <c r="AG9" s="1">
        <f t="shared" si="12"/>
        <v>117.23</v>
      </c>
      <c r="AH9" s="1">
        <f t="shared" si="12"/>
        <v>129.1</v>
      </c>
      <c r="AI9" s="1">
        <f t="shared" si="12"/>
        <v>129.1</v>
      </c>
      <c r="AJ9" s="1">
        <f t="shared" si="12"/>
        <v>71.099999999999994</v>
      </c>
      <c r="AK9" s="1">
        <f t="shared" si="12"/>
        <v>0</v>
      </c>
      <c r="AL9" s="1">
        <f t="shared" si="12"/>
        <v>159.21</v>
      </c>
      <c r="AM9" s="1">
        <f t="shared" si="12"/>
        <v>158</v>
      </c>
      <c r="AN9" s="1">
        <f t="shared" si="12"/>
        <v>283.91000000000003</v>
      </c>
      <c r="AO9" s="1">
        <f t="shared" si="12"/>
        <v>283.91000000000003</v>
      </c>
      <c r="AP9" s="1">
        <f t="shared" si="12"/>
        <v>370.81</v>
      </c>
      <c r="AQ9" s="1">
        <f t="shared" si="12"/>
        <v>457.71</v>
      </c>
      <c r="AR9" s="1">
        <f t="shared" si="12"/>
        <v>173.8</v>
      </c>
      <c r="AS9" s="1">
        <f t="shared" si="12"/>
        <v>576.57000000000005</v>
      </c>
      <c r="AT9" s="1">
        <f t="shared" si="12"/>
        <v>1965.63</v>
      </c>
      <c r="AU9" s="1">
        <f t="shared" si="12"/>
        <v>65.91</v>
      </c>
      <c r="AV9" s="1">
        <f t="shared" si="12"/>
        <v>65.91</v>
      </c>
      <c r="AW9" s="1">
        <f t="shared" si="12"/>
        <v>0</v>
      </c>
      <c r="AX9" s="1">
        <f t="shared" si="12"/>
        <v>0</v>
      </c>
      <c r="AY9" s="1">
        <f t="shared" si="12"/>
        <v>176.22</v>
      </c>
      <c r="AZ9" s="1">
        <f t="shared" si="12"/>
        <v>254.43</v>
      </c>
      <c r="BA9" s="1">
        <f t="shared" si="12"/>
        <v>97.9</v>
      </c>
      <c r="BB9" s="1">
        <f t="shared" si="12"/>
        <v>0</v>
      </c>
      <c r="BC9" s="1">
        <f t="shared" si="12"/>
        <v>0</v>
      </c>
      <c r="BD9" s="1">
        <f t="shared" si="12"/>
        <v>88.11</v>
      </c>
      <c r="BE9" s="1">
        <f t="shared" si="12"/>
        <v>97.9</v>
      </c>
      <c r="BF9" s="1">
        <f t="shared" si="12"/>
        <v>0</v>
      </c>
      <c r="BG9" s="1">
        <f t="shared" si="12"/>
        <v>88.11</v>
      </c>
      <c r="BH9" s="1">
        <f t="shared" si="12"/>
        <v>447.67</v>
      </c>
      <c r="BI9" s="1">
        <f t="shared" si="12"/>
        <v>0</v>
      </c>
      <c r="BJ9" s="1">
        <f t="shared" si="12"/>
        <v>0</v>
      </c>
      <c r="BK9" s="1">
        <f t="shared" si="12"/>
        <v>0</v>
      </c>
      <c r="BL9" s="1">
        <f t="shared" si="12"/>
        <v>0</v>
      </c>
      <c r="BM9" s="1">
        <f t="shared" si="12"/>
        <v>0</v>
      </c>
      <c r="BN9" s="1">
        <f t="shared" ref="BN9:DY9" si="13">BN6</f>
        <v>249.2</v>
      </c>
      <c r="BO9" s="1">
        <f t="shared" si="13"/>
        <v>729.8</v>
      </c>
      <c r="BP9" s="1">
        <f t="shared" si="13"/>
        <v>75.650000000000006</v>
      </c>
      <c r="BQ9" s="1">
        <f t="shared" si="13"/>
        <v>75.650000000000006</v>
      </c>
      <c r="BR9" s="1">
        <f t="shared" si="13"/>
        <v>0</v>
      </c>
      <c r="BS9" s="1">
        <f t="shared" si="13"/>
        <v>0</v>
      </c>
      <c r="BT9" s="1">
        <f t="shared" si="13"/>
        <v>0</v>
      </c>
      <c r="BU9" s="1">
        <f t="shared" si="13"/>
        <v>132.55000000000001</v>
      </c>
      <c r="BV9" s="1">
        <f t="shared" si="13"/>
        <v>591.48</v>
      </c>
      <c r="BW9" s="1">
        <f t="shared" si="13"/>
        <v>0</v>
      </c>
      <c r="BX9" s="1">
        <f t="shared" si="13"/>
        <v>0</v>
      </c>
      <c r="BY9" s="1">
        <f t="shared" si="13"/>
        <v>0</v>
      </c>
      <c r="BZ9" s="1">
        <f t="shared" si="13"/>
        <v>0</v>
      </c>
      <c r="CA9" s="1">
        <f t="shared" si="13"/>
        <v>0</v>
      </c>
      <c r="CB9" s="1">
        <f t="shared" si="13"/>
        <v>226.1</v>
      </c>
      <c r="CC9" s="1">
        <f t="shared" si="13"/>
        <v>793</v>
      </c>
      <c r="CD9" s="1">
        <f t="shared" si="13"/>
        <v>0</v>
      </c>
      <c r="CE9" s="1">
        <f t="shared" si="13"/>
        <v>0</v>
      </c>
      <c r="CF9" s="1">
        <f t="shared" si="13"/>
        <v>0</v>
      </c>
      <c r="CG9" s="1">
        <f t="shared" si="13"/>
        <v>90.82</v>
      </c>
      <c r="CH9" s="1">
        <f t="shared" si="13"/>
        <v>90.82</v>
      </c>
      <c r="CI9" s="1">
        <f t="shared" si="13"/>
        <v>218.15</v>
      </c>
      <c r="CJ9" s="1">
        <f t="shared" si="13"/>
        <v>366.52</v>
      </c>
      <c r="CK9" s="1">
        <f t="shared" si="13"/>
        <v>89.69</v>
      </c>
      <c r="CL9" s="1">
        <f t="shared" si="13"/>
        <v>185.52</v>
      </c>
      <c r="CM9" s="1">
        <f t="shared" si="13"/>
        <v>89.69</v>
      </c>
      <c r="CN9" s="1">
        <f t="shared" si="13"/>
        <v>197.6</v>
      </c>
      <c r="CO9" s="1">
        <f t="shared" si="13"/>
        <v>619.42999999999995</v>
      </c>
      <c r="CP9" s="1">
        <f t="shared" si="13"/>
        <v>1846.06</v>
      </c>
      <c r="CQ9" s="1">
        <f t="shared" si="13"/>
        <v>2337.08</v>
      </c>
      <c r="CR9" s="1">
        <f t="shared" si="13"/>
        <v>601.57000000000005</v>
      </c>
      <c r="CS9" s="1">
        <f t="shared" si="13"/>
        <v>366.03</v>
      </c>
      <c r="CT9" s="1">
        <f t="shared" si="13"/>
        <v>801.87</v>
      </c>
      <c r="CU9" s="1">
        <f t="shared" si="13"/>
        <v>718.61</v>
      </c>
      <c r="CV9" s="1">
        <f t="shared" si="13"/>
        <v>1021.64</v>
      </c>
      <c r="CW9" s="1">
        <f t="shared" si="13"/>
        <v>1202.51</v>
      </c>
      <c r="CX9" s="1">
        <f t="shared" si="13"/>
        <v>2789.99</v>
      </c>
      <c r="CY9" s="1">
        <f t="shared" si="13"/>
        <v>607.49</v>
      </c>
      <c r="CZ9" s="1">
        <f t="shared" si="13"/>
        <v>247.41</v>
      </c>
      <c r="DA9" s="1">
        <f t="shared" si="13"/>
        <v>452.93</v>
      </c>
      <c r="DB9" s="1">
        <f t="shared" si="13"/>
        <v>930.63</v>
      </c>
      <c r="DC9" s="1">
        <f t="shared" si="13"/>
        <v>2942.78</v>
      </c>
      <c r="DD9" s="1">
        <f t="shared" si="13"/>
        <v>2689.22</v>
      </c>
      <c r="DE9" s="1">
        <f t="shared" si="13"/>
        <v>2608.3200000000002</v>
      </c>
      <c r="DF9" s="1">
        <f t="shared" si="13"/>
        <v>1557.01</v>
      </c>
      <c r="DG9" s="1">
        <f t="shared" si="13"/>
        <v>1657.14</v>
      </c>
      <c r="DH9" s="1">
        <f t="shared" si="13"/>
        <v>1819.7</v>
      </c>
      <c r="DI9" s="1">
        <f t="shared" si="13"/>
        <v>1450.09</v>
      </c>
      <c r="DJ9" s="1">
        <f t="shared" si="13"/>
        <v>1856.31</v>
      </c>
      <c r="DK9" s="1">
        <f t="shared" si="13"/>
        <v>2528.71</v>
      </c>
      <c r="DL9" s="1">
        <f t="shared" si="13"/>
        <v>2470.17</v>
      </c>
      <c r="DM9" s="1">
        <f t="shared" si="13"/>
        <v>265.29000000000002</v>
      </c>
      <c r="DN9" s="1">
        <f t="shared" si="13"/>
        <v>758.59</v>
      </c>
      <c r="DO9" s="1">
        <f t="shared" si="13"/>
        <v>866.5</v>
      </c>
      <c r="DP9" s="1">
        <f t="shared" si="13"/>
        <v>959.12</v>
      </c>
      <c r="DQ9" s="1">
        <f t="shared" si="13"/>
        <v>951.34</v>
      </c>
      <c r="DR9" s="1">
        <f t="shared" si="13"/>
        <v>2869.02</v>
      </c>
      <c r="DS9" s="1">
        <f t="shared" si="13"/>
        <v>2782.53</v>
      </c>
      <c r="DT9" s="1">
        <f t="shared" si="13"/>
        <v>81.73</v>
      </c>
      <c r="DU9" s="1">
        <f t="shared" si="13"/>
        <v>0</v>
      </c>
      <c r="DV9" s="1">
        <f t="shared" si="13"/>
        <v>0</v>
      </c>
      <c r="DW9" s="1">
        <f t="shared" si="13"/>
        <v>0</v>
      </c>
      <c r="DX9" s="1">
        <f t="shared" si="13"/>
        <v>0</v>
      </c>
      <c r="DY9" s="1">
        <f t="shared" si="13"/>
        <v>117.81</v>
      </c>
      <c r="DZ9" s="1">
        <f t="shared" ref="DZ9:GK9" si="14">DZ6</f>
        <v>1771.53</v>
      </c>
      <c r="EA9" s="1">
        <f t="shared" si="14"/>
        <v>107.91</v>
      </c>
      <c r="EB9" s="1">
        <f t="shared" si="14"/>
        <v>107.91</v>
      </c>
      <c r="EC9" s="1">
        <f t="shared" si="14"/>
        <v>107.91</v>
      </c>
      <c r="ED9" s="1">
        <f t="shared" si="14"/>
        <v>215.82</v>
      </c>
      <c r="EE9" s="1">
        <f t="shared" si="14"/>
        <v>2187.25</v>
      </c>
      <c r="EF9" s="1">
        <f t="shared" si="14"/>
        <v>2815.21</v>
      </c>
      <c r="EG9" s="1">
        <f t="shared" si="14"/>
        <v>2507.63</v>
      </c>
      <c r="EH9" s="1">
        <f t="shared" si="14"/>
        <v>77.86</v>
      </c>
      <c r="EI9" s="1">
        <f t="shared" si="14"/>
        <v>293.68</v>
      </c>
      <c r="EJ9" s="1">
        <f t="shared" si="14"/>
        <v>293.68</v>
      </c>
      <c r="EK9" s="1">
        <f t="shared" si="14"/>
        <v>215.82</v>
      </c>
      <c r="EL9" s="1">
        <f t="shared" si="14"/>
        <v>323.73</v>
      </c>
      <c r="EM9" s="1">
        <f t="shared" si="14"/>
        <v>550.82000000000005</v>
      </c>
      <c r="EN9" s="1">
        <f t="shared" si="14"/>
        <v>3043.9</v>
      </c>
      <c r="EO9" s="1">
        <f t="shared" si="14"/>
        <v>313.92</v>
      </c>
      <c r="EP9" s="1">
        <f t="shared" si="14"/>
        <v>0</v>
      </c>
      <c r="EQ9" s="1">
        <f t="shared" si="14"/>
        <v>0</v>
      </c>
      <c r="ER9" s="1">
        <f t="shared" si="14"/>
        <v>0</v>
      </c>
      <c r="ES9" s="1">
        <f t="shared" si="14"/>
        <v>0</v>
      </c>
      <c r="ET9" s="1">
        <f t="shared" si="14"/>
        <v>0</v>
      </c>
      <c r="EU9" s="1">
        <f t="shared" si="14"/>
        <v>1930.09</v>
      </c>
      <c r="EV9" s="1">
        <f t="shared" si="14"/>
        <v>0</v>
      </c>
      <c r="EW9" s="1">
        <f t="shared" si="14"/>
        <v>98.1</v>
      </c>
      <c r="EX9" s="1">
        <f t="shared" si="14"/>
        <v>0</v>
      </c>
      <c r="EY9" s="1">
        <f t="shared" si="14"/>
        <v>0</v>
      </c>
      <c r="EZ9" s="1">
        <f t="shared" si="14"/>
        <v>896.84</v>
      </c>
      <c r="FA9" s="1">
        <f t="shared" si="14"/>
        <v>1491.06</v>
      </c>
      <c r="FB9" s="1">
        <f t="shared" si="14"/>
        <v>1754</v>
      </c>
      <c r="FC9" s="1">
        <f t="shared" si="14"/>
        <v>109</v>
      </c>
      <c r="FD9" s="1">
        <f t="shared" si="14"/>
        <v>109</v>
      </c>
      <c r="FE9" s="1">
        <f t="shared" si="14"/>
        <v>109</v>
      </c>
      <c r="FF9" s="1">
        <f t="shared" si="14"/>
        <v>109</v>
      </c>
      <c r="FG9" s="1">
        <f t="shared" si="14"/>
        <v>0</v>
      </c>
      <c r="FH9" s="1">
        <f t="shared" si="14"/>
        <v>216.1</v>
      </c>
      <c r="FI9" s="1">
        <f t="shared" si="14"/>
        <v>1418.1</v>
      </c>
      <c r="FJ9" s="1">
        <f t="shared" si="14"/>
        <v>0</v>
      </c>
      <c r="FK9" s="1">
        <f t="shared" si="14"/>
        <v>0</v>
      </c>
      <c r="FL9" s="1">
        <f t="shared" si="14"/>
        <v>0</v>
      </c>
      <c r="FM9" s="1">
        <f t="shared" si="14"/>
        <v>0</v>
      </c>
      <c r="FN9" s="1">
        <f t="shared" si="14"/>
        <v>0</v>
      </c>
      <c r="FO9" s="1">
        <f t="shared" si="14"/>
        <v>249.81</v>
      </c>
      <c r="FP9" s="1">
        <f t="shared" si="14"/>
        <v>2784.19</v>
      </c>
      <c r="FQ9" s="1">
        <f t="shared" si="14"/>
        <v>0</v>
      </c>
      <c r="FR9" s="1">
        <f t="shared" si="14"/>
        <v>0</v>
      </c>
      <c r="FS9" s="1">
        <f t="shared" si="14"/>
        <v>0</v>
      </c>
      <c r="FT9" s="1">
        <f t="shared" si="14"/>
        <v>0</v>
      </c>
      <c r="FU9" s="1">
        <f t="shared" si="14"/>
        <v>0</v>
      </c>
      <c r="FV9" s="1">
        <f t="shared" si="14"/>
        <v>1227.46</v>
      </c>
      <c r="FW9" s="1">
        <f t="shared" si="14"/>
        <v>2537.96</v>
      </c>
      <c r="FX9" s="1">
        <f t="shared" si="14"/>
        <v>109</v>
      </c>
      <c r="FY9" s="1">
        <f t="shared" si="14"/>
        <v>186.86</v>
      </c>
      <c r="FZ9" s="1">
        <f t="shared" si="14"/>
        <v>186.86</v>
      </c>
      <c r="GA9" s="1">
        <f t="shared" si="14"/>
        <v>168.24</v>
      </c>
      <c r="GB9" s="1">
        <f t="shared" si="14"/>
        <v>0</v>
      </c>
      <c r="GC9" s="1">
        <f t="shared" si="14"/>
        <v>225.72</v>
      </c>
      <c r="GD9" s="1">
        <f t="shared" si="14"/>
        <v>1964.97</v>
      </c>
      <c r="GE9" s="1">
        <f t="shared" si="14"/>
        <v>411.84</v>
      </c>
      <c r="GF9" s="1">
        <f t="shared" si="14"/>
        <v>98.1</v>
      </c>
      <c r="GG9" s="1">
        <f t="shared" si="14"/>
        <v>98.1</v>
      </c>
      <c r="GH9" s="1">
        <f t="shared" si="14"/>
        <v>98.1</v>
      </c>
      <c r="GI9" s="1">
        <f t="shared" si="14"/>
        <v>98.1</v>
      </c>
      <c r="GJ9" s="1">
        <f t="shared" si="14"/>
        <v>205.2</v>
      </c>
      <c r="GK9" s="1">
        <f t="shared" si="14"/>
        <v>579.15</v>
      </c>
      <c r="GL9" s="1">
        <f t="shared" ref="GL9:IW9" si="15">GL6</f>
        <v>0</v>
      </c>
      <c r="GM9" s="1">
        <f t="shared" si="15"/>
        <v>0</v>
      </c>
      <c r="GN9" s="1">
        <f t="shared" si="15"/>
        <v>0</v>
      </c>
      <c r="GO9" s="1">
        <f t="shared" si="15"/>
        <v>0</v>
      </c>
      <c r="GP9" s="1">
        <f t="shared" si="15"/>
        <v>0</v>
      </c>
      <c r="GQ9" s="1">
        <f t="shared" si="15"/>
        <v>714</v>
      </c>
      <c r="GR9" s="1">
        <f t="shared" si="15"/>
        <v>440.73</v>
      </c>
      <c r="GS9" s="1">
        <f t="shared" si="15"/>
        <v>313.92</v>
      </c>
      <c r="GT9" s="1">
        <f t="shared" si="15"/>
        <v>0</v>
      </c>
      <c r="GU9" s="1">
        <f t="shared" si="15"/>
        <v>186.12</v>
      </c>
      <c r="GV9" s="1">
        <f t="shared" si="15"/>
        <v>0</v>
      </c>
      <c r="GW9" s="1">
        <f t="shared" si="15"/>
        <v>0</v>
      </c>
      <c r="GX9" s="1">
        <f t="shared" si="15"/>
        <v>117.81</v>
      </c>
      <c r="GY9" s="1">
        <f t="shared" si="15"/>
        <v>1021.02</v>
      </c>
      <c r="GZ9" s="1">
        <f t="shared" si="15"/>
        <v>411.84</v>
      </c>
      <c r="HA9" s="1">
        <f t="shared" si="15"/>
        <v>107.91</v>
      </c>
      <c r="HB9" s="1">
        <f t="shared" si="15"/>
        <v>107.91</v>
      </c>
      <c r="HC9" s="1">
        <f t="shared" si="15"/>
        <v>205.92</v>
      </c>
      <c r="HD9" s="1">
        <f t="shared" si="15"/>
        <v>294.02999999999997</v>
      </c>
      <c r="HE9" s="1">
        <f t="shared" si="15"/>
        <v>1130.22</v>
      </c>
      <c r="HF9" s="1">
        <f t="shared" si="15"/>
        <v>962.33</v>
      </c>
      <c r="HG9" s="1">
        <f t="shared" si="15"/>
        <v>205.92</v>
      </c>
      <c r="HH9" s="1">
        <f t="shared" si="15"/>
        <v>0</v>
      </c>
      <c r="HI9" s="1">
        <f t="shared" si="15"/>
        <v>0</v>
      </c>
      <c r="HJ9" s="1">
        <f t="shared" si="15"/>
        <v>0</v>
      </c>
      <c r="HK9" s="1">
        <f t="shared" si="15"/>
        <v>0</v>
      </c>
      <c r="HL9" s="1">
        <f t="shared" si="15"/>
        <v>471.24</v>
      </c>
      <c r="HM9" s="1">
        <f t="shared" si="15"/>
        <v>589.04999999999995</v>
      </c>
      <c r="HN9" s="1">
        <f t="shared" si="15"/>
        <v>0</v>
      </c>
      <c r="HO9" s="1">
        <f t="shared" si="15"/>
        <v>109</v>
      </c>
      <c r="HP9" s="1">
        <f t="shared" si="15"/>
        <v>228.9</v>
      </c>
      <c r="HQ9" s="1">
        <f t="shared" si="15"/>
        <v>228.9</v>
      </c>
      <c r="HR9" s="1">
        <f t="shared" si="15"/>
        <v>228.9</v>
      </c>
      <c r="HS9" s="1">
        <f t="shared" si="15"/>
        <v>249.9</v>
      </c>
      <c r="HT9" s="1">
        <f t="shared" si="15"/>
        <v>1341.71</v>
      </c>
      <c r="HU9" s="1">
        <f t="shared" si="15"/>
        <v>195.34</v>
      </c>
      <c r="HV9" s="1">
        <f t="shared" si="15"/>
        <v>97.33</v>
      </c>
      <c r="HW9" s="1">
        <f t="shared" si="15"/>
        <v>0</v>
      </c>
      <c r="HX9" s="1">
        <f t="shared" si="15"/>
        <v>0</v>
      </c>
      <c r="HY9" s="1">
        <f t="shared" si="15"/>
        <v>612.70000000000005</v>
      </c>
      <c r="HZ9" s="1">
        <f t="shared" si="15"/>
        <v>2853</v>
      </c>
      <c r="IA9" s="1">
        <f t="shared" si="15"/>
        <v>3202.1</v>
      </c>
      <c r="IB9" s="1">
        <f t="shared" si="15"/>
        <v>515.9</v>
      </c>
      <c r="IC9" s="1">
        <f t="shared" si="15"/>
        <v>0</v>
      </c>
      <c r="ID9" s="1">
        <f t="shared" si="15"/>
        <v>0</v>
      </c>
      <c r="IE9" s="1">
        <f t="shared" si="15"/>
        <v>0</v>
      </c>
      <c r="IF9" s="1">
        <f t="shared" si="15"/>
        <v>0</v>
      </c>
      <c r="IG9" s="1">
        <f t="shared" si="15"/>
        <v>0</v>
      </c>
      <c r="IH9" s="1">
        <f t="shared" si="15"/>
        <v>130.9</v>
      </c>
      <c r="II9" s="1">
        <f t="shared" si="15"/>
        <v>0</v>
      </c>
      <c r="IJ9" s="1">
        <f t="shared" si="15"/>
        <v>0</v>
      </c>
      <c r="IK9" s="1">
        <f t="shared" si="15"/>
        <v>0</v>
      </c>
      <c r="IL9" s="1">
        <f t="shared" si="15"/>
        <v>0</v>
      </c>
      <c r="IM9" s="1">
        <f t="shared" si="15"/>
        <v>0</v>
      </c>
      <c r="IN9" s="1">
        <f t="shared" si="15"/>
        <v>0</v>
      </c>
      <c r="IO9" s="1">
        <f t="shared" si="15"/>
        <v>1402.83</v>
      </c>
      <c r="IP9" s="1">
        <f t="shared" si="15"/>
        <v>0</v>
      </c>
      <c r="IQ9" s="1">
        <f t="shared" si="15"/>
        <v>0</v>
      </c>
      <c r="IR9" s="1">
        <f t="shared" si="15"/>
        <v>0</v>
      </c>
      <c r="IS9" s="1">
        <f t="shared" si="15"/>
        <v>0</v>
      </c>
      <c r="IT9" s="1">
        <f t="shared" si="15"/>
        <v>0</v>
      </c>
      <c r="IU9" s="1">
        <f t="shared" si="15"/>
        <v>0</v>
      </c>
      <c r="IV9" s="1">
        <f t="shared" si="15"/>
        <v>0</v>
      </c>
      <c r="IW9" s="1">
        <f t="shared" si="15"/>
        <v>0</v>
      </c>
      <c r="IX9" s="1">
        <f t="shared" ref="IX9:LI9" si="16">IX6</f>
        <v>0</v>
      </c>
      <c r="IY9" s="1">
        <f t="shared" si="16"/>
        <v>0</v>
      </c>
      <c r="IZ9" s="1">
        <f t="shared" si="16"/>
        <v>0</v>
      </c>
      <c r="JA9" s="1">
        <f t="shared" si="16"/>
        <v>0</v>
      </c>
      <c r="JB9" s="1">
        <f t="shared" si="16"/>
        <v>0</v>
      </c>
      <c r="JC9" s="1">
        <f t="shared" si="16"/>
        <v>0</v>
      </c>
      <c r="JD9" s="1">
        <f t="shared" si="16"/>
        <v>0</v>
      </c>
      <c r="JE9" s="1">
        <f t="shared" si="16"/>
        <v>0</v>
      </c>
      <c r="JF9" s="1">
        <f t="shared" si="16"/>
        <v>0</v>
      </c>
      <c r="JG9" s="1">
        <f t="shared" si="16"/>
        <v>0</v>
      </c>
      <c r="JH9" s="1">
        <f t="shared" si="16"/>
        <v>0</v>
      </c>
      <c r="JI9" s="1">
        <f t="shared" si="16"/>
        <v>0</v>
      </c>
      <c r="JJ9" s="1">
        <f t="shared" si="16"/>
        <v>0</v>
      </c>
      <c r="JK9" s="1">
        <f t="shared" si="16"/>
        <v>0</v>
      </c>
      <c r="JL9" s="1">
        <f t="shared" si="16"/>
        <v>0</v>
      </c>
      <c r="JM9" s="1">
        <f t="shared" si="16"/>
        <v>0</v>
      </c>
      <c r="JN9" s="1">
        <f t="shared" si="16"/>
        <v>0</v>
      </c>
      <c r="JO9" s="1">
        <f t="shared" si="16"/>
        <v>0</v>
      </c>
      <c r="JP9" s="1">
        <f t="shared" si="16"/>
        <v>0</v>
      </c>
      <c r="JQ9" s="1">
        <f t="shared" si="16"/>
        <v>176.22</v>
      </c>
      <c r="JR9" s="1">
        <f t="shared" si="16"/>
        <v>0</v>
      </c>
      <c r="JS9" s="1">
        <f t="shared" si="16"/>
        <v>0</v>
      </c>
      <c r="JT9" s="1">
        <f t="shared" si="16"/>
        <v>0</v>
      </c>
      <c r="JU9" s="1">
        <f t="shared" si="16"/>
        <v>0</v>
      </c>
      <c r="JV9" s="1">
        <f t="shared" si="16"/>
        <v>0</v>
      </c>
      <c r="JW9" s="1">
        <f t="shared" si="16"/>
        <v>0</v>
      </c>
      <c r="JX9" s="1">
        <f t="shared" si="16"/>
        <v>0</v>
      </c>
      <c r="JY9" s="1">
        <f t="shared" si="16"/>
        <v>0</v>
      </c>
      <c r="JZ9" s="1">
        <f t="shared" si="16"/>
        <v>0</v>
      </c>
      <c r="KA9" s="1">
        <f t="shared" si="16"/>
        <v>0</v>
      </c>
      <c r="KB9" s="1">
        <f t="shared" si="16"/>
        <v>0</v>
      </c>
      <c r="KC9" s="1">
        <f t="shared" si="16"/>
        <v>0</v>
      </c>
      <c r="KD9" s="1">
        <f t="shared" si="16"/>
        <v>78.209999999999994</v>
      </c>
      <c r="KE9" s="1">
        <f t="shared" si="16"/>
        <v>78.209999999999994</v>
      </c>
      <c r="KF9" s="1">
        <f t="shared" si="16"/>
        <v>0</v>
      </c>
      <c r="KG9" s="1">
        <f t="shared" si="16"/>
        <v>0</v>
      </c>
      <c r="KH9" s="1">
        <f t="shared" si="16"/>
        <v>0</v>
      </c>
      <c r="KI9" s="1">
        <f t="shared" si="16"/>
        <v>0</v>
      </c>
      <c r="KJ9" s="1">
        <f t="shared" si="16"/>
        <v>0</v>
      </c>
      <c r="KK9" s="1">
        <f t="shared" si="16"/>
        <v>0</v>
      </c>
      <c r="KL9" s="1">
        <f t="shared" si="16"/>
        <v>0</v>
      </c>
      <c r="KM9" s="1">
        <f t="shared" si="16"/>
        <v>0</v>
      </c>
      <c r="KN9" s="1">
        <f t="shared" si="16"/>
        <v>0</v>
      </c>
      <c r="KO9" s="1">
        <f t="shared" si="16"/>
        <v>0</v>
      </c>
      <c r="KP9" s="1">
        <f t="shared" si="16"/>
        <v>0</v>
      </c>
      <c r="KQ9" s="1">
        <f t="shared" si="16"/>
        <v>0</v>
      </c>
      <c r="KR9" s="1">
        <f t="shared" si="16"/>
        <v>0</v>
      </c>
      <c r="KS9" s="1">
        <f t="shared" si="16"/>
        <v>0</v>
      </c>
      <c r="KT9" s="1">
        <f t="shared" si="16"/>
        <v>0</v>
      </c>
      <c r="KU9" s="1">
        <f t="shared" si="16"/>
        <v>0</v>
      </c>
      <c r="KV9" s="1">
        <f t="shared" si="16"/>
        <v>0</v>
      </c>
      <c r="KW9" s="1">
        <f t="shared" si="16"/>
        <v>0</v>
      </c>
      <c r="KX9" s="1">
        <f t="shared" si="16"/>
        <v>0</v>
      </c>
      <c r="KY9" s="1">
        <f t="shared" si="16"/>
        <v>0</v>
      </c>
      <c r="KZ9" s="1">
        <f t="shared" si="16"/>
        <v>0</v>
      </c>
      <c r="LA9" s="1">
        <f t="shared" si="16"/>
        <v>0</v>
      </c>
      <c r="LB9" s="1">
        <f t="shared" si="16"/>
        <v>0</v>
      </c>
      <c r="LC9" s="1">
        <f t="shared" si="16"/>
        <v>0</v>
      </c>
      <c r="LD9" s="1">
        <f t="shared" si="16"/>
        <v>0</v>
      </c>
      <c r="LE9" s="1">
        <f t="shared" si="16"/>
        <v>0</v>
      </c>
      <c r="LF9" s="1">
        <f t="shared" si="16"/>
        <v>0</v>
      </c>
      <c r="LG9" s="1">
        <f t="shared" si="16"/>
        <v>0</v>
      </c>
      <c r="LH9" s="1">
        <f t="shared" si="16"/>
        <v>0</v>
      </c>
      <c r="LI9" s="1">
        <f t="shared" si="16"/>
        <v>0</v>
      </c>
      <c r="LJ9" s="1">
        <f t="shared" ref="LJ9:NB9" si="17">LJ6</f>
        <v>0</v>
      </c>
      <c r="LK9" s="1">
        <f t="shared" si="17"/>
        <v>0</v>
      </c>
      <c r="LL9" s="1">
        <f t="shared" si="17"/>
        <v>0</v>
      </c>
      <c r="LM9" s="1">
        <f t="shared" si="17"/>
        <v>0</v>
      </c>
      <c r="LN9" s="1">
        <f t="shared" si="17"/>
        <v>0</v>
      </c>
      <c r="LO9" s="1">
        <f t="shared" si="17"/>
        <v>0</v>
      </c>
      <c r="LP9" s="1">
        <f t="shared" si="17"/>
        <v>0</v>
      </c>
      <c r="LQ9" s="1">
        <f t="shared" si="17"/>
        <v>0</v>
      </c>
      <c r="LR9" s="1">
        <f t="shared" si="17"/>
        <v>0</v>
      </c>
      <c r="LS9" s="1">
        <f t="shared" si="17"/>
        <v>0</v>
      </c>
      <c r="LT9" s="1">
        <f t="shared" si="17"/>
        <v>0</v>
      </c>
      <c r="LU9" s="1">
        <f t="shared" si="17"/>
        <v>0</v>
      </c>
      <c r="LV9" s="1">
        <f t="shared" si="17"/>
        <v>0</v>
      </c>
      <c r="LW9" s="1">
        <f t="shared" si="17"/>
        <v>0</v>
      </c>
      <c r="LX9" s="1">
        <f t="shared" si="17"/>
        <v>0</v>
      </c>
      <c r="LY9" s="1">
        <f t="shared" si="17"/>
        <v>0</v>
      </c>
      <c r="LZ9" s="1">
        <f t="shared" si="17"/>
        <v>0</v>
      </c>
      <c r="MA9" s="1">
        <f t="shared" si="17"/>
        <v>0</v>
      </c>
      <c r="MB9" s="1">
        <f t="shared" si="17"/>
        <v>0</v>
      </c>
      <c r="MC9" s="1">
        <f t="shared" si="17"/>
        <v>0</v>
      </c>
      <c r="MD9" s="1">
        <f t="shared" si="17"/>
        <v>0</v>
      </c>
      <c r="ME9" s="1">
        <f t="shared" si="17"/>
        <v>0</v>
      </c>
      <c r="MF9" s="1">
        <f t="shared" si="17"/>
        <v>0</v>
      </c>
      <c r="MG9" s="1">
        <f t="shared" si="17"/>
        <v>0</v>
      </c>
      <c r="MH9" s="1">
        <f t="shared" si="17"/>
        <v>0</v>
      </c>
      <c r="MI9" s="1">
        <f t="shared" si="17"/>
        <v>0</v>
      </c>
      <c r="MJ9" s="1">
        <f t="shared" si="17"/>
        <v>0</v>
      </c>
      <c r="MK9" s="1">
        <f t="shared" si="17"/>
        <v>0</v>
      </c>
      <c r="ML9" s="1">
        <f t="shared" si="17"/>
        <v>0</v>
      </c>
      <c r="MM9" s="1">
        <f t="shared" si="17"/>
        <v>0</v>
      </c>
      <c r="MN9" s="1">
        <f t="shared" si="17"/>
        <v>0</v>
      </c>
      <c r="MO9" s="1">
        <f t="shared" si="17"/>
        <v>0</v>
      </c>
      <c r="MP9" s="1">
        <f t="shared" si="17"/>
        <v>0</v>
      </c>
      <c r="MQ9" s="1">
        <f t="shared" si="17"/>
        <v>0</v>
      </c>
      <c r="MR9" s="1">
        <f t="shared" si="17"/>
        <v>0</v>
      </c>
      <c r="MS9" s="1">
        <f t="shared" si="17"/>
        <v>0</v>
      </c>
      <c r="MT9" s="1">
        <f t="shared" si="17"/>
        <v>0</v>
      </c>
      <c r="MU9" s="1">
        <f t="shared" si="17"/>
        <v>0</v>
      </c>
      <c r="MV9" s="1">
        <f t="shared" si="17"/>
        <v>0</v>
      </c>
      <c r="MW9" s="1">
        <f t="shared" si="17"/>
        <v>0</v>
      </c>
      <c r="MX9" s="1">
        <f t="shared" si="17"/>
        <v>0</v>
      </c>
      <c r="MY9" s="1">
        <f t="shared" si="17"/>
        <v>0</v>
      </c>
      <c r="MZ9" s="1">
        <f t="shared" si="17"/>
        <v>0</v>
      </c>
      <c r="NA9" s="1">
        <f t="shared" si="17"/>
        <v>0</v>
      </c>
      <c r="NB9" s="1">
        <f t="shared" si="17"/>
        <v>0</v>
      </c>
      <c r="NC9">
        <v>112976.28</v>
      </c>
    </row>
    <row r="10" spans="1:367" x14ac:dyDescent="0.3">
      <c r="A10" t="s">
        <v>374</v>
      </c>
      <c r="B10" s="1">
        <v>42.67</v>
      </c>
      <c r="C10" s="1">
        <v>17.57</v>
      </c>
      <c r="D10" s="1">
        <v>20.079999999999998</v>
      </c>
      <c r="E10" s="1">
        <v>5.0199999999999996</v>
      </c>
      <c r="F10" s="1">
        <v>0</v>
      </c>
      <c r="G10" s="1">
        <v>0</v>
      </c>
      <c r="H10" s="1">
        <v>0</v>
      </c>
      <c r="I10" s="1">
        <v>0</v>
      </c>
      <c r="J10" s="1">
        <v>7.53</v>
      </c>
      <c r="K10" s="1">
        <v>7.53</v>
      </c>
      <c r="L10" s="1">
        <v>0</v>
      </c>
      <c r="M10" s="1">
        <v>0</v>
      </c>
      <c r="N10" s="1">
        <v>0</v>
      </c>
      <c r="O10" s="1">
        <v>2.5099999999999998</v>
      </c>
      <c r="P10" s="1">
        <v>0</v>
      </c>
      <c r="Q10" s="1">
        <v>2.5099999999999998</v>
      </c>
      <c r="R10" s="1">
        <v>2.5099999999999998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5.0199999999999996</v>
      </c>
      <c r="Z10" s="1">
        <v>0</v>
      </c>
      <c r="AA10" s="1">
        <v>0</v>
      </c>
      <c r="AB10" s="1">
        <v>5.0199999999999996</v>
      </c>
      <c r="AC10" s="1">
        <v>5.0199999999999996</v>
      </c>
      <c r="AD10" s="1">
        <v>5.0199999999999996</v>
      </c>
      <c r="AE10" s="1">
        <v>12.76</v>
      </c>
      <c r="AF10" s="1">
        <v>10.18</v>
      </c>
      <c r="AG10" s="1">
        <v>5.0199999999999996</v>
      </c>
      <c r="AH10" s="1">
        <v>7.74</v>
      </c>
      <c r="AI10" s="1">
        <v>7.74</v>
      </c>
      <c r="AJ10" s="1">
        <v>2.58</v>
      </c>
      <c r="AK10" s="1">
        <v>0</v>
      </c>
      <c r="AL10" s="1">
        <v>7.74</v>
      </c>
      <c r="AM10" s="1">
        <v>5.16</v>
      </c>
      <c r="AN10" s="1">
        <v>7.74</v>
      </c>
      <c r="AO10" s="1">
        <v>7.74</v>
      </c>
      <c r="AP10" s="1">
        <v>10.32</v>
      </c>
      <c r="AQ10" s="1">
        <v>12.9</v>
      </c>
      <c r="AR10" s="1">
        <v>5.16</v>
      </c>
      <c r="AS10" s="1">
        <v>30.96</v>
      </c>
      <c r="AT10" s="1">
        <v>110.94</v>
      </c>
      <c r="AU10" s="1">
        <v>5.16</v>
      </c>
      <c r="AV10" s="1">
        <v>5.16</v>
      </c>
      <c r="AW10" s="1">
        <v>0</v>
      </c>
      <c r="AX10" s="1">
        <v>0</v>
      </c>
      <c r="AY10" s="1">
        <v>10.32</v>
      </c>
      <c r="AZ10" s="1">
        <v>10.32</v>
      </c>
      <c r="BA10" s="1">
        <v>5.16</v>
      </c>
      <c r="BB10" s="1">
        <v>0</v>
      </c>
      <c r="BC10" s="1">
        <v>0</v>
      </c>
      <c r="BD10" s="1">
        <v>5.16</v>
      </c>
      <c r="BE10" s="1">
        <v>5.16</v>
      </c>
      <c r="BF10" s="1">
        <v>0</v>
      </c>
      <c r="BG10" s="1">
        <v>5.16</v>
      </c>
      <c r="BH10" s="1">
        <v>25.8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12.9</v>
      </c>
      <c r="BO10" s="1">
        <v>38.700000000000003</v>
      </c>
      <c r="BP10" s="1">
        <v>5.16</v>
      </c>
      <c r="BQ10" s="1">
        <v>5.16</v>
      </c>
      <c r="BR10" s="1">
        <v>0</v>
      </c>
      <c r="BS10" s="1">
        <v>0</v>
      </c>
      <c r="BT10" s="1">
        <v>0</v>
      </c>
      <c r="BU10" s="1">
        <v>7.74</v>
      </c>
      <c r="BV10" s="1">
        <v>30.96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7.74</v>
      </c>
      <c r="CC10" s="1">
        <v>23.22</v>
      </c>
      <c r="CD10" s="1">
        <v>0</v>
      </c>
      <c r="CE10" s="1">
        <v>0</v>
      </c>
      <c r="CF10" s="1">
        <v>0</v>
      </c>
      <c r="CG10" s="1">
        <v>5.16</v>
      </c>
      <c r="CH10" s="1">
        <v>5.16</v>
      </c>
      <c r="CI10" s="1">
        <v>10.32</v>
      </c>
      <c r="CJ10" s="1">
        <v>15.48</v>
      </c>
      <c r="CK10" s="1">
        <v>5.16</v>
      </c>
      <c r="CL10" s="1">
        <v>7.74</v>
      </c>
      <c r="CM10" s="1">
        <v>5.16</v>
      </c>
      <c r="CN10" s="1">
        <v>10.32</v>
      </c>
      <c r="CO10" s="1">
        <v>30.96</v>
      </c>
      <c r="CP10" s="1">
        <v>79.98</v>
      </c>
      <c r="CQ10" s="1">
        <v>108.36</v>
      </c>
      <c r="CR10" s="1">
        <v>30.96</v>
      </c>
      <c r="CS10" s="1">
        <v>18.059999999999999</v>
      </c>
      <c r="CT10" s="1">
        <v>38.700000000000003</v>
      </c>
      <c r="CU10" s="1">
        <v>30.96</v>
      </c>
      <c r="CV10" s="1">
        <v>40.65</v>
      </c>
      <c r="CW10" s="1">
        <v>43.65</v>
      </c>
      <c r="CX10" s="1">
        <v>110.94</v>
      </c>
      <c r="CY10" s="1">
        <v>23.22</v>
      </c>
      <c r="CZ10" s="1">
        <v>7.74</v>
      </c>
      <c r="DA10" s="1">
        <v>18.059999999999999</v>
      </c>
      <c r="DB10" s="1">
        <v>36.119999999999997</v>
      </c>
      <c r="DC10" s="1">
        <v>87.72</v>
      </c>
      <c r="DD10" s="1">
        <v>110.94</v>
      </c>
      <c r="DE10" s="1">
        <v>110.94</v>
      </c>
      <c r="DF10" s="1">
        <v>59.34</v>
      </c>
      <c r="DG10" s="1">
        <v>59.34</v>
      </c>
      <c r="DH10" s="1">
        <v>61.92</v>
      </c>
      <c r="DI10" s="1">
        <v>51.6</v>
      </c>
      <c r="DJ10" s="1">
        <v>64.5</v>
      </c>
      <c r="DK10" s="1">
        <v>95.46</v>
      </c>
      <c r="DL10" s="1">
        <v>103.2</v>
      </c>
      <c r="DM10" s="1">
        <v>10.32</v>
      </c>
      <c r="DN10" s="1">
        <v>33.54</v>
      </c>
      <c r="DO10" s="1">
        <v>38.700000000000003</v>
      </c>
      <c r="DP10" s="1">
        <v>41.28</v>
      </c>
      <c r="DQ10" s="1">
        <v>43.86</v>
      </c>
      <c r="DR10" s="1">
        <v>118.68</v>
      </c>
      <c r="DS10" s="1">
        <v>115.96</v>
      </c>
      <c r="DT10" s="1">
        <v>5.16</v>
      </c>
      <c r="DU10" s="1">
        <v>0</v>
      </c>
      <c r="DV10" s="1">
        <v>0</v>
      </c>
      <c r="DW10" s="1">
        <v>0</v>
      </c>
      <c r="DX10" s="1">
        <v>0</v>
      </c>
      <c r="DY10" s="1">
        <v>5.16</v>
      </c>
      <c r="DZ10" s="1">
        <v>74.819999999999993</v>
      </c>
      <c r="EA10" s="1">
        <v>5.16</v>
      </c>
      <c r="EB10" s="1">
        <v>5.16</v>
      </c>
      <c r="EC10" s="1">
        <v>5.16</v>
      </c>
      <c r="ED10" s="1">
        <v>10.32</v>
      </c>
      <c r="EE10" s="1">
        <v>99.5</v>
      </c>
      <c r="EF10" s="1">
        <v>117.14</v>
      </c>
      <c r="EG10" s="1">
        <v>107.73</v>
      </c>
      <c r="EH10" s="1">
        <v>2.5099999999999998</v>
      </c>
      <c r="EI10" s="1">
        <v>7.74</v>
      </c>
      <c r="EJ10" s="1">
        <v>7.74</v>
      </c>
      <c r="EK10" s="1">
        <v>5.16</v>
      </c>
      <c r="EL10" s="1">
        <v>10.18</v>
      </c>
      <c r="EM10" s="1">
        <v>20.5</v>
      </c>
      <c r="EN10" s="1">
        <v>105.98</v>
      </c>
      <c r="EO10" s="1">
        <v>15.2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68.959999999999994</v>
      </c>
      <c r="EV10" s="1">
        <v>0</v>
      </c>
      <c r="EW10" s="1">
        <v>5.0199999999999996</v>
      </c>
      <c r="EX10" s="1">
        <v>0</v>
      </c>
      <c r="EY10" s="1">
        <v>0</v>
      </c>
      <c r="EZ10" s="1">
        <v>45.32</v>
      </c>
      <c r="FA10" s="1">
        <v>68.33</v>
      </c>
      <c r="FB10" s="1">
        <v>81.16</v>
      </c>
      <c r="FC10" s="1">
        <v>5.0199999999999996</v>
      </c>
      <c r="FD10" s="1">
        <v>2.5099999999999998</v>
      </c>
      <c r="FE10" s="1">
        <v>2.5099999999999998</v>
      </c>
      <c r="FF10" s="1">
        <v>5.16</v>
      </c>
      <c r="FG10" s="1">
        <v>0</v>
      </c>
      <c r="FH10" s="1">
        <v>10.18</v>
      </c>
      <c r="FI10" s="1">
        <v>61.36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10.039999999999999</v>
      </c>
      <c r="FP10" s="1">
        <v>109.4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50.9</v>
      </c>
      <c r="FW10" s="1">
        <v>102.01</v>
      </c>
      <c r="FX10" s="1">
        <v>2.5099999999999998</v>
      </c>
      <c r="FY10" s="1">
        <v>5.09</v>
      </c>
      <c r="FZ10" s="1">
        <v>5.09</v>
      </c>
      <c r="GA10" s="1">
        <v>7.53</v>
      </c>
      <c r="GB10" s="1">
        <v>0</v>
      </c>
      <c r="GC10" s="1">
        <v>7.67</v>
      </c>
      <c r="GD10" s="1">
        <v>73.63</v>
      </c>
      <c r="GE10" s="1">
        <v>12.83</v>
      </c>
      <c r="GF10" s="1">
        <v>5.0199999999999996</v>
      </c>
      <c r="GG10" s="1">
        <v>5.0199999999999996</v>
      </c>
      <c r="GH10" s="1">
        <v>5.0199999999999996</v>
      </c>
      <c r="GI10" s="1">
        <v>5.0199999999999996</v>
      </c>
      <c r="GJ10" s="1">
        <v>7.74</v>
      </c>
      <c r="GK10" s="1">
        <v>22.73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20.5</v>
      </c>
      <c r="GR10" s="1">
        <v>20.22</v>
      </c>
      <c r="GS10" s="1">
        <v>15.2</v>
      </c>
      <c r="GT10" s="1">
        <v>0</v>
      </c>
      <c r="GU10" s="1">
        <v>7.53</v>
      </c>
      <c r="GV10" s="1">
        <v>0</v>
      </c>
      <c r="GW10" s="1">
        <v>0</v>
      </c>
      <c r="GX10" s="1">
        <v>5.16</v>
      </c>
      <c r="GY10" s="1">
        <v>46.02</v>
      </c>
      <c r="GZ10" s="1">
        <v>20.36</v>
      </c>
      <c r="HA10" s="1">
        <v>5.16</v>
      </c>
      <c r="HB10" s="1">
        <v>5.16</v>
      </c>
      <c r="HC10" s="1">
        <v>7.74</v>
      </c>
      <c r="HD10" s="1">
        <v>7.6</v>
      </c>
      <c r="HE10" s="1">
        <v>35.42</v>
      </c>
      <c r="HF10" s="1">
        <v>35.42</v>
      </c>
      <c r="HG10" s="1">
        <v>5.16</v>
      </c>
      <c r="HH10" s="1">
        <v>0</v>
      </c>
      <c r="HI10" s="1">
        <v>0</v>
      </c>
      <c r="HJ10" s="1">
        <v>0</v>
      </c>
      <c r="HK10" s="1">
        <v>0</v>
      </c>
      <c r="HL10" s="1">
        <v>20.64</v>
      </c>
      <c r="HM10" s="1">
        <v>23.22</v>
      </c>
      <c r="HN10" s="1">
        <v>0</v>
      </c>
      <c r="HO10" s="1">
        <v>5.0199999999999996</v>
      </c>
      <c r="HP10" s="1">
        <v>10.18</v>
      </c>
      <c r="HQ10" s="1">
        <v>10.18</v>
      </c>
      <c r="HR10" s="1">
        <v>10.18</v>
      </c>
      <c r="HS10" s="1">
        <v>10.039999999999999</v>
      </c>
      <c r="HT10" s="1">
        <v>52.92</v>
      </c>
      <c r="HU10" s="1">
        <v>7.74</v>
      </c>
      <c r="HV10" s="1">
        <v>5.16</v>
      </c>
      <c r="HW10" s="1">
        <v>0</v>
      </c>
      <c r="HX10" s="1">
        <v>0</v>
      </c>
      <c r="HY10" s="1">
        <v>22.59</v>
      </c>
      <c r="HZ10" s="1">
        <v>95.45</v>
      </c>
      <c r="IA10" s="1">
        <v>105.56</v>
      </c>
      <c r="IB10" s="1">
        <v>20.22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5.16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60.8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10.18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2.58</v>
      </c>
      <c r="KE10" s="1">
        <v>2.58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>
        <v>4591.9799999999996</v>
      </c>
    </row>
    <row r="11" spans="1:367" x14ac:dyDescent="0.3">
      <c r="A11" t="s">
        <v>373</v>
      </c>
      <c r="B11" s="1">
        <f t="shared" ref="B11:BM11" si="18">B9+B10</f>
        <v>957.17</v>
      </c>
      <c r="C11" s="1">
        <f t="shared" si="18"/>
        <v>453.57</v>
      </c>
      <c r="D11" s="1">
        <f t="shared" si="18"/>
        <v>535.08000000000004</v>
      </c>
      <c r="E11" s="1">
        <f t="shared" si="18"/>
        <v>173.02</v>
      </c>
      <c r="F11" s="1">
        <f t="shared" si="18"/>
        <v>0</v>
      </c>
      <c r="G11" s="1">
        <f t="shared" si="18"/>
        <v>0</v>
      </c>
      <c r="H11" s="1">
        <f t="shared" si="18"/>
        <v>0</v>
      </c>
      <c r="I11" s="1">
        <f t="shared" si="18"/>
        <v>0</v>
      </c>
      <c r="J11" s="1">
        <f t="shared" si="18"/>
        <v>184.64000000000001</v>
      </c>
      <c r="K11" s="1">
        <f t="shared" si="18"/>
        <v>194.43</v>
      </c>
      <c r="L11" s="1">
        <f t="shared" si="18"/>
        <v>0</v>
      </c>
      <c r="M11" s="1">
        <f t="shared" si="18"/>
        <v>0</v>
      </c>
      <c r="N11" s="1">
        <f t="shared" si="18"/>
        <v>0</v>
      </c>
      <c r="O11" s="1">
        <f t="shared" si="18"/>
        <v>90.62</v>
      </c>
      <c r="P11" s="1">
        <f t="shared" si="18"/>
        <v>0</v>
      </c>
      <c r="Q11" s="1">
        <f t="shared" si="18"/>
        <v>90.62</v>
      </c>
      <c r="R11" s="1">
        <f t="shared" si="18"/>
        <v>90.62</v>
      </c>
      <c r="S11" s="1">
        <f t="shared" si="18"/>
        <v>0</v>
      </c>
      <c r="T11" s="1">
        <f t="shared" si="18"/>
        <v>0</v>
      </c>
      <c r="U11" s="1">
        <f t="shared" si="18"/>
        <v>0</v>
      </c>
      <c r="V11" s="1">
        <f t="shared" si="18"/>
        <v>0</v>
      </c>
      <c r="W11" s="1">
        <f t="shared" si="18"/>
        <v>0</v>
      </c>
      <c r="X11" s="1">
        <f t="shared" si="18"/>
        <v>0</v>
      </c>
      <c r="Y11" s="1">
        <f t="shared" si="18"/>
        <v>173.23000000000002</v>
      </c>
      <c r="Z11" s="1">
        <f t="shared" si="18"/>
        <v>0</v>
      </c>
      <c r="AA11" s="1">
        <f t="shared" si="18"/>
        <v>0</v>
      </c>
      <c r="AB11" s="1">
        <f t="shared" si="18"/>
        <v>63.019999999999996</v>
      </c>
      <c r="AC11" s="1">
        <f t="shared" si="18"/>
        <v>63.019999999999996</v>
      </c>
      <c r="AD11" s="1">
        <f t="shared" si="18"/>
        <v>63.019999999999996</v>
      </c>
      <c r="AE11" s="1">
        <f t="shared" si="18"/>
        <v>129.99</v>
      </c>
      <c r="AF11" s="1">
        <f t="shared" si="18"/>
        <v>215.52</v>
      </c>
      <c r="AG11" s="1">
        <f t="shared" si="18"/>
        <v>122.25</v>
      </c>
      <c r="AH11" s="1">
        <f t="shared" si="18"/>
        <v>136.84</v>
      </c>
      <c r="AI11" s="1">
        <f t="shared" si="18"/>
        <v>136.84</v>
      </c>
      <c r="AJ11" s="1">
        <f t="shared" si="18"/>
        <v>73.679999999999993</v>
      </c>
      <c r="AK11" s="1">
        <f t="shared" si="18"/>
        <v>0</v>
      </c>
      <c r="AL11" s="1">
        <f t="shared" si="18"/>
        <v>166.95000000000002</v>
      </c>
      <c r="AM11" s="1">
        <f t="shared" si="18"/>
        <v>163.16</v>
      </c>
      <c r="AN11" s="1">
        <f t="shared" si="18"/>
        <v>291.65000000000003</v>
      </c>
      <c r="AO11" s="1">
        <f t="shared" si="18"/>
        <v>291.65000000000003</v>
      </c>
      <c r="AP11" s="1">
        <f t="shared" si="18"/>
        <v>381.13</v>
      </c>
      <c r="AQ11" s="1">
        <f t="shared" si="18"/>
        <v>470.60999999999996</v>
      </c>
      <c r="AR11" s="1">
        <f t="shared" si="18"/>
        <v>178.96</v>
      </c>
      <c r="AS11" s="1">
        <f t="shared" si="18"/>
        <v>607.53000000000009</v>
      </c>
      <c r="AT11" s="1">
        <f t="shared" si="18"/>
        <v>2076.5700000000002</v>
      </c>
      <c r="AU11" s="1">
        <f t="shared" si="18"/>
        <v>71.069999999999993</v>
      </c>
      <c r="AV11" s="1">
        <f t="shared" si="18"/>
        <v>71.069999999999993</v>
      </c>
      <c r="AW11" s="1">
        <f t="shared" si="18"/>
        <v>0</v>
      </c>
      <c r="AX11" s="1">
        <f t="shared" si="18"/>
        <v>0</v>
      </c>
      <c r="AY11" s="1">
        <f t="shared" si="18"/>
        <v>186.54</v>
      </c>
      <c r="AZ11" s="1">
        <f t="shared" si="18"/>
        <v>264.75</v>
      </c>
      <c r="BA11" s="1">
        <f t="shared" si="18"/>
        <v>103.06</v>
      </c>
      <c r="BB11" s="1">
        <f t="shared" si="18"/>
        <v>0</v>
      </c>
      <c r="BC11" s="1">
        <f t="shared" si="18"/>
        <v>0</v>
      </c>
      <c r="BD11" s="1">
        <f t="shared" si="18"/>
        <v>93.27</v>
      </c>
      <c r="BE11" s="1">
        <f t="shared" si="18"/>
        <v>103.06</v>
      </c>
      <c r="BF11" s="1">
        <f t="shared" si="18"/>
        <v>0</v>
      </c>
      <c r="BG11" s="1">
        <f t="shared" si="18"/>
        <v>93.27</v>
      </c>
      <c r="BH11" s="1">
        <f t="shared" si="18"/>
        <v>473.47</v>
      </c>
      <c r="BI11" s="1">
        <f t="shared" si="18"/>
        <v>0</v>
      </c>
      <c r="BJ11" s="1">
        <f t="shared" si="18"/>
        <v>0</v>
      </c>
      <c r="BK11" s="1">
        <f t="shared" si="18"/>
        <v>0</v>
      </c>
      <c r="BL11" s="1">
        <f t="shared" si="18"/>
        <v>0</v>
      </c>
      <c r="BM11" s="1">
        <f t="shared" si="18"/>
        <v>0</v>
      </c>
      <c r="BN11" s="1">
        <f t="shared" ref="BN11:DY11" si="19">BN9+BN10</f>
        <v>262.09999999999997</v>
      </c>
      <c r="BO11" s="1">
        <f t="shared" si="19"/>
        <v>768.5</v>
      </c>
      <c r="BP11" s="1">
        <f t="shared" si="19"/>
        <v>80.81</v>
      </c>
      <c r="BQ11" s="1">
        <f t="shared" si="19"/>
        <v>80.81</v>
      </c>
      <c r="BR11" s="1">
        <f t="shared" si="19"/>
        <v>0</v>
      </c>
      <c r="BS11" s="1">
        <f t="shared" si="19"/>
        <v>0</v>
      </c>
      <c r="BT11" s="1">
        <f t="shared" si="19"/>
        <v>0</v>
      </c>
      <c r="BU11" s="1">
        <f t="shared" si="19"/>
        <v>140.29000000000002</v>
      </c>
      <c r="BV11" s="1">
        <f t="shared" si="19"/>
        <v>622.44000000000005</v>
      </c>
      <c r="BW11" s="1">
        <f t="shared" si="19"/>
        <v>0</v>
      </c>
      <c r="BX11" s="1">
        <f t="shared" si="19"/>
        <v>0</v>
      </c>
      <c r="BY11" s="1">
        <f t="shared" si="19"/>
        <v>0</v>
      </c>
      <c r="BZ11" s="1">
        <f t="shared" si="19"/>
        <v>0</v>
      </c>
      <c r="CA11" s="1">
        <f t="shared" si="19"/>
        <v>0</v>
      </c>
      <c r="CB11" s="1">
        <f t="shared" si="19"/>
        <v>233.84</v>
      </c>
      <c r="CC11" s="1">
        <f t="shared" si="19"/>
        <v>816.22</v>
      </c>
      <c r="CD11" s="1">
        <f t="shared" si="19"/>
        <v>0</v>
      </c>
      <c r="CE11" s="1">
        <f t="shared" si="19"/>
        <v>0</v>
      </c>
      <c r="CF11" s="1">
        <f t="shared" si="19"/>
        <v>0</v>
      </c>
      <c r="CG11" s="1">
        <f t="shared" si="19"/>
        <v>95.97999999999999</v>
      </c>
      <c r="CH11" s="1">
        <f t="shared" si="19"/>
        <v>95.97999999999999</v>
      </c>
      <c r="CI11" s="1">
        <f t="shared" si="19"/>
        <v>228.47</v>
      </c>
      <c r="CJ11" s="1">
        <f t="shared" si="19"/>
        <v>382</v>
      </c>
      <c r="CK11" s="1">
        <f t="shared" si="19"/>
        <v>94.85</v>
      </c>
      <c r="CL11" s="1">
        <f t="shared" si="19"/>
        <v>193.26000000000002</v>
      </c>
      <c r="CM11" s="1">
        <f t="shared" si="19"/>
        <v>94.85</v>
      </c>
      <c r="CN11" s="1">
        <f t="shared" si="19"/>
        <v>207.92</v>
      </c>
      <c r="CO11" s="1">
        <f t="shared" si="19"/>
        <v>650.39</v>
      </c>
      <c r="CP11" s="1">
        <f t="shared" si="19"/>
        <v>1926.04</v>
      </c>
      <c r="CQ11" s="1">
        <f t="shared" si="19"/>
        <v>2445.44</v>
      </c>
      <c r="CR11" s="1">
        <f t="shared" si="19"/>
        <v>632.53000000000009</v>
      </c>
      <c r="CS11" s="1">
        <f t="shared" si="19"/>
        <v>384.09</v>
      </c>
      <c r="CT11" s="1">
        <f t="shared" si="19"/>
        <v>840.57</v>
      </c>
      <c r="CU11" s="1">
        <f t="shared" si="19"/>
        <v>749.57</v>
      </c>
      <c r="CV11" s="1">
        <f t="shared" si="19"/>
        <v>1062.29</v>
      </c>
      <c r="CW11" s="1">
        <f t="shared" si="19"/>
        <v>1246.1600000000001</v>
      </c>
      <c r="CX11" s="1">
        <f t="shared" si="19"/>
        <v>2900.93</v>
      </c>
      <c r="CY11" s="1">
        <f t="shared" si="19"/>
        <v>630.71</v>
      </c>
      <c r="CZ11" s="1">
        <f t="shared" si="19"/>
        <v>255.15</v>
      </c>
      <c r="DA11" s="1">
        <f t="shared" si="19"/>
        <v>470.99</v>
      </c>
      <c r="DB11" s="1">
        <f t="shared" si="19"/>
        <v>966.75</v>
      </c>
      <c r="DC11" s="1">
        <f t="shared" si="19"/>
        <v>3030.5</v>
      </c>
      <c r="DD11" s="1">
        <f t="shared" si="19"/>
        <v>2800.16</v>
      </c>
      <c r="DE11" s="1">
        <f t="shared" si="19"/>
        <v>2719.26</v>
      </c>
      <c r="DF11" s="1">
        <f t="shared" si="19"/>
        <v>1616.35</v>
      </c>
      <c r="DG11" s="1">
        <f t="shared" si="19"/>
        <v>1716.48</v>
      </c>
      <c r="DH11" s="1">
        <f t="shared" si="19"/>
        <v>1881.6200000000001</v>
      </c>
      <c r="DI11" s="1">
        <f t="shared" si="19"/>
        <v>1501.6899999999998</v>
      </c>
      <c r="DJ11" s="1">
        <f t="shared" si="19"/>
        <v>1920.81</v>
      </c>
      <c r="DK11" s="1">
        <f t="shared" si="19"/>
        <v>2624.17</v>
      </c>
      <c r="DL11" s="1">
        <f t="shared" si="19"/>
        <v>2573.37</v>
      </c>
      <c r="DM11" s="1">
        <f t="shared" si="19"/>
        <v>275.61</v>
      </c>
      <c r="DN11" s="1">
        <f t="shared" si="19"/>
        <v>792.13</v>
      </c>
      <c r="DO11" s="1">
        <f t="shared" si="19"/>
        <v>905.2</v>
      </c>
      <c r="DP11" s="1">
        <f t="shared" si="19"/>
        <v>1000.4</v>
      </c>
      <c r="DQ11" s="1">
        <f t="shared" si="19"/>
        <v>995.2</v>
      </c>
      <c r="DR11" s="1">
        <f t="shared" si="19"/>
        <v>2987.7</v>
      </c>
      <c r="DS11" s="1">
        <f t="shared" si="19"/>
        <v>2898.4900000000002</v>
      </c>
      <c r="DT11" s="1">
        <f t="shared" si="19"/>
        <v>86.89</v>
      </c>
      <c r="DU11" s="1">
        <f t="shared" si="19"/>
        <v>0</v>
      </c>
      <c r="DV11" s="1">
        <f t="shared" si="19"/>
        <v>0</v>
      </c>
      <c r="DW11" s="1">
        <f t="shared" si="19"/>
        <v>0</v>
      </c>
      <c r="DX11" s="1">
        <f t="shared" si="19"/>
        <v>0</v>
      </c>
      <c r="DY11" s="1">
        <f t="shared" si="19"/>
        <v>122.97</v>
      </c>
      <c r="DZ11" s="1">
        <f t="shared" ref="DZ11:GK11" si="20">DZ9+DZ10</f>
        <v>1846.35</v>
      </c>
      <c r="EA11" s="1">
        <f t="shared" si="20"/>
        <v>113.07</v>
      </c>
      <c r="EB11" s="1">
        <f t="shared" si="20"/>
        <v>113.07</v>
      </c>
      <c r="EC11" s="1">
        <f t="shared" si="20"/>
        <v>113.07</v>
      </c>
      <c r="ED11" s="1">
        <f t="shared" si="20"/>
        <v>226.14</v>
      </c>
      <c r="EE11" s="1">
        <f t="shared" si="20"/>
        <v>2286.75</v>
      </c>
      <c r="EF11" s="1">
        <f t="shared" si="20"/>
        <v>2932.35</v>
      </c>
      <c r="EG11" s="1">
        <f t="shared" si="20"/>
        <v>2615.36</v>
      </c>
      <c r="EH11" s="1">
        <f t="shared" si="20"/>
        <v>80.37</v>
      </c>
      <c r="EI11" s="1">
        <f t="shared" si="20"/>
        <v>301.42</v>
      </c>
      <c r="EJ11" s="1">
        <f t="shared" si="20"/>
        <v>301.42</v>
      </c>
      <c r="EK11" s="1">
        <f t="shared" si="20"/>
        <v>220.98</v>
      </c>
      <c r="EL11" s="1">
        <f t="shared" si="20"/>
        <v>333.91</v>
      </c>
      <c r="EM11" s="1">
        <f t="shared" si="20"/>
        <v>571.32000000000005</v>
      </c>
      <c r="EN11" s="1">
        <f t="shared" si="20"/>
        <v>3149.88</v>
      </c>
      <c r="EO11" s="1">
        <f t="shared" si="20"/>
        <v>329.12</v>
      </c>
      <c r="EP11" s="1">
        <f t="shared" si="20"/>
        <v>0</v>
      </c>
      <c r="EQ11" s="1">
        <f t="shared" si="20"/>
        <v>0</v>
      </c>
      <c r="ER11" s="1">
        <f t="shared" si="20"/>
        <v>0</v>
      </c>
      <c r="ES11" s="1">
        <f t="shared" si="20"/>
        <v>0</v>
      </c>
      <c r="ET11" s="1">
        <f t="shared" si="20"/>
        <v>0</v>
      </c>
      <c r="EU11" s="1">
        <f t="shared" si="20"/>
        <v>1999.05</v>
      </c>
      <c r="EV11" s="1">
        <f t="shared" si="20"/>
        <v>0</v>
      </c>
      <c r="EW11" s="1">
        <f t="shared" si="20"/>
        <v>103.11999999999999</v>
      </c>
      <c r="EX11" s="1">
        <f t="shared" si="20"/>
        <v>0</v>
      </c>
      <c r="EY11" s="1">
        <f t="shared" si="20"/>
        <v>0</v>
      </c>
      <c r="EZ11" s="1">
        <f t="shared" si="20"/>
        <v>942.16000000000008</v>
      </c>
      <c r="FA11" s="1">
        <f t="shared" si="20"/>
        <v>1559.3899999999999</v>
      </c>
      <c r="FB11" s="1">
        <f t="shared" si="20"/>
        <v>1835.16</v>
      </c>
      <c r="FC11" s="1">
        <f t="shared" si="20"/>
        <v>114.02</v>
      </c>
      <c r="FD11" s="1">
        <f t="shared" si="20"/>
        <v>111.51</v>
      </c>
      <c r="FE11" s="1">
        <f t="shared" si="20"/>
        <v>111.51</v>
      </c>
      <c r="FF11" s="1">
        <f t="shared" si="20"/>
        <v>114.16</v>
      </c>
      <c r="FG11" s="1">
        <f t="shared" si="20"/>
        <v>0</v>
      </c>
      <c r="FH11" s="1">
        <f t="shared" si="20"/>
        <v>226.28</v>
      </c>
      <c r="FI11" s="1">
        <f t="shared" si="20"/>
        <v>1479.4599999999998</v>
      </c>
      <c r="FJ11" s="1">
        <f t="shared" si="20"/>
        <v>0</v>
      </c>
      <c r="FK11" s="1">
        <f t="shared" si="20"/>
        <v>0</v>
      </c>
      <c r="FL11" s="1">
        <f t="shared" si="20"/>
        <v>0</v>
      </c>
      <c r="FM11" s="1">
        <f t="shared" si="20"/>
        <v>0</v>
      </c>
      <c r="FN11" s="1">
        <f t="shared" si="20"/>
        <v>0</v>
      </c>
      <c r="FO11" s="1">
        <f t="shared" si="20"/>
        <v>259.85000000000002</v>
      </c>
      <c r="FP11" s="1">
        <f t="shared" si="20"/>
        <v>2893.59</v>
      </c>
      <c r="FQ11" s="1">
        <f t="shared" si="20"/>
        <v>0</v>
      </c>
      <c r="FR11" s="1">
        <f t="shared" si="20"/>
        <v>0</v>
      </c>
      <c r="FS11" s="1">
        <f t="shared" si="20"/>
        <v>0</v>
      </c>
      <c r="FT11" s="1">
        <f t="shared" si="20"/>
        <v>0</v>
      </c>
      <c r="FU11" s="1">
        <f t="shared" si="20"/>
        <v>0</v>
      </c>
      <c r="FV11" s="1">
        <f t="shared" si="20"/>
        <v>1278.3600000000001</v>
      </c>
      <c r="FW11" s="1">
        <f t="shared" si="20"/>
        <v>2639.9700000000003</v>
      </c>
      <c r="FX11" s="1">
        <f t="shared" si="20"/>
        <v>111.51</v>
      </c>
      <c r="FY11" s="1">
        <f t="shared" si="20"/>
        <v>191.95000000000002</v>
      </c>
      <c r="FZ11" s="1">
        <f t="shared" si="20"/>
        <v>191.95000000000002</v>
      </c>
      <c r="GA11" s="1">
        <f t="shared" si="20"/>
        <v>175.77</v>
      </c>
      <c r="GB11" s="1">
        <f t="shared" si="20"/>
        <v>0</v>
      </c>
      <c r="GC11" s="1">
        <f t="shared" si="20"/>
        <v>233.39</v>
      </c>
      <c r="GD11" s="1">
        <f t="shared" si="20"/>
        <v>2038.6</v>
      </c>
      <c r="GE11" s="1">
        <f t="shared" si="20"/>
        <v>424.66999999999996</v>
      </c>
      <c r="GF11" s="1">
        <f t="shared" si="20"/>
        <v>103.11999999999999</v>
      </c>
      <c r="GG11" s="1">
        <f t="shared" si="20"/>
        <v>103.11999999999999</v>
      </c>
      <c r="GH11" s="1">
        <f t="shared" si="20"/>
        <v>103.11999999999999</v>
      </c>
      <c r="GI11" s="1">
        <f t="shared" si="20"/>
        <v>103.11999999999999</v>
      </c>
      <c r="GJ11" s="1">
        <f t="shared" si="20"/>
        <v>212.94</v>
      </c>
      <c r="GK11" s="1">
        <f t="shared" si="20"/>
        <v>601.88</v>
      </c>
      <c r="GL11" s="1">
        <f t="shared" ref="GL11:IW11" si="21">GL9+GL10</f>
        <v>0</v>
      </c>
      <c r="GM11" s="1">
        <f t="shared" si="21"/>
        <v>0</v>
      </c>
      <c r="GN11" s="1">
        <f t="shared" si="21"/>
        <v>0</v>
      </c>
      <c r="GO11" s="1">
        <f t="shared" si="21"/>
        <v>0</v>
      </c>
      <c r="GP11" s="1">
        <f t="shared" si="21"/>
        <v>0</v>
      </c>
      <c r="GQ11" s="1">
        <f t="shared" si="21"/>
        <v>734.5</v>
      </c>
      <c r="GR11" s="1">
        <f t="shared" si="21"/>
        <v>460.95000000000005</v>
      </c>
      <c r="GS11" s="1">
        <f t="shared" si="21"/>
        <v>329.12</v>
      </c>
      <c r="GT11" s="1">
        <f t="shared" si="21"/>
        <v>0</v>
      </c>
      <c r="GU11" s="1">
        <f t="shared" si="21"/>
        <v>193.65</v>
      </c>
      <c r="GV11" s="1">
        <f t="shared" si="21"/>
        <v>0</v>
      </c>
      <c r="GW11" s="1">
        <f t="shared" si="21"/>
        <v>0</v>
      </c>
      <c r="GX11" s="1">
        <f t="shared" si="21"/>
        <v>122.97</v>
      </c>
      <c r="GY11" s="1">
        <f t="shared" si="21"/>
        <v>1067.04</v>
      </c>
      <c r="GZ11" s="1">
        <f t="shared" si="21"/>
        <v>432.2</v>
      </c>
      <c r="HA11" s="1">
        <f t="shared" si="21"/>
        <v>113.07</v>
      </c>
      <c r="HB11" s="1">
        <f t="shared" si="21"/>
        <v>113.07</v>
      </c>
      <c r="HC11" s="1">
        <f t="shared" si="21"/>
        <v>213.66</v>
      </c>
      <c r="HD11" s="1">
        <f t="shared" si="21"/>
        <v>301.63</v>
      </c>
      <c r="HE11" s="1">
        <f t="shared" si="21"/>
        <v>1165.6400000000001</v>
      </c>
      <c r="HF11" s="1">
        <f t="shared" si="21"/>
        <v>997.75</v>
      </c>
      <c r="HG11" s="1">
        <f t="shared" si="21"/>
        <v>211.07999999999998</v>
      </c>
      <c r="HH11" s="1">
        <f t="shared" si="21"/>
        <v>0</v>
      </c>
      <c r="HI11" s="1">
        <f t="shared" si="21"/>
        <v>0</v>
      </c>
      <c r="HJ11" s="1">
        <f t="shared" si="21"/>
        <v>0</v>
      </c>
      <c r="HK11" s="1">
        <f t="shared" si="21"/>
        <v>0</v>
      </c>
      <c r="HL11" s="1">
        <f t="shared" si="21"/>
        <v>491.88</v>
      </c>
      <c r="HM11" s="1">
        <f t="shared" si="21"/>
        <v>612.27</v>
      </c>
      <c r="HN11" s="1">
        <f t="shared" si="21"/>
        <v>0</v>
      </c>
      <c r="HO11" s="1">
        <f t="shared" si="21"/>
        <v>114.02</v>
      </c>
      <c r="HP11" s="1">
        <f t="shared" si="21"/>
        <v>239.08</v>
      </c>
      <c r="HQ11" s="1">
        <f t="shared" si="21"/>
        <v>239.08</v>
      </c>
      <c r="HR11" s="1">
        <f t="shared" si="21"/>
        <v>239.08</v>
      </c>
      <c r="HS11" s="1">
        <f t="shared" si="21"/>
        <v>259.94</v>
      </c>
      <c r="HT11" s="1">
        <f t="shared" si="21"/>
        <v>1394.63</v>
      </c>
      <c r="HU11" s="1">
        <f t="shared" si="21"/>
        <v>203.08</v>
      </c>
      <c r="HV11" s="1">
        <f t="shared" si="21"/>
        <v>102.49</v>
      </c>
      <c r="HW11" s="1">
        <f t="shared" si="21"/>
        <v>0</v>
      </c>
      <c r="HX11" s="1">
        <f t="shared" si="21"/>
        <v>0</v>
      </c>
      <c r="HY11" s="1">
        <f t="shared" si="21"/>
        <v>635.29000000000008</v>
      </c>
      <c r="HZ11" s="1">
        <f t="shared" si="21"/>
        <v>2948.45</v>
      </c>
      <c r="IA11" s="1">
        <f t="shared" si="21"/>
        <v>3307.66</v>
      </c>
      <c r="IB11" s="1">
        <f t="shared" si="21"/>
        <v>536.12</v>
      </c>
      <c r="IC11" s="1">
        <f t="shared" si="21"/>
        <v>0</v>
      </c>
      <c r="ID11" s="1">
        <f t="shared" si="21"/>
        <v>0</v>
      </c>
      <c r="IE11" s="1">
        <f t="shared" si="21"/>
        <v>0</v>
      </c>
      <c r="IF11" s="1">
        <f t="shared" si="21"/>
        <v>0</v>
      </c>
      <c r="IG11" s="1">
        <f t="shared" si="21"/>
        <v>0</v>
      </c>
      <c r="IH11" s="1">
        <f t="shared" si="21"/>
        <v>136.06</v>
      </c>
      <c r="II11" s="1">
        <f t="shared" si="21"/>
        <v>0</v>
      </c>
      <c r="IJ11" s="1">
        <f t="shared" si="21"/>
        <v>0</v>
      </c>
      <c r="IK11" s="1">
        <f t="shared" si="21"/>
        <v>0</v>
      </c>
      <c r="IL11" s="1">
        <f t="shared" si="21"/>
        <v>0</v>
      </c>
      <c r="IM11" s="1">
        <f t="shared" si="21"/>
        <v>0</v>
      </c>
      <c r="IN11" s="1">
        <f t="shared" si="21"/>
        <v>0</v>
      </c>
      <c r="IO11" s="1">
        <f t="shared" si="21"/>
        <v>1463.6299999999999</v>
      </c>
      <c r="IP11" s="1">
        <f t="shared" si="21"/>
        <v>0</v>
      </c>
      <c r="IQ11" s="1">
        <f t="shared" si="21"/>
        <v>0</v>
      </c>
      <c r="IR11" s="1">
        <f t="shared" si="21"/>
        <v>0</v>
      </c>
      <c r="IS11" s="1">
        <f t="shared" si="21"/>
        <v>0</v>
      </c>
      <c r="IT11" s="1">
        <f t="shared" si="21"/>
        <v>0</v>
      </c>
      <c r="IU11" s="1">
        <f t="shared" si="21"/>
        <v>0</v>
      </c>
      <c r="IV11" s="1">
        <f t="shared" si="21"/>
        <v>0</v>
      </c>
      <c r="IW11" s="1">
        <f t="shared" si="21"/>
        <v>0</v>
      </c>
      <c r="IX11" s="1">
        <f t="shared" ref="IX11:LI11" si="22">IX9+IX10</f>
        <v>0</v>
      </c>
      <c r="IY11" s="1">
        <f t="shared" si="22"/>
        <v>0</v>
      </c>
      <c r="IZ11" s="1">
        <f t="shared" si="22"/>
        <v>0</v>
      </c>
      <c r="JA11" s="1">
        <f t="shared" si="22"/>
        <v>0</v>
      </c>
      <c r="JB11" s="1">
        <f t="shared" si="22"/>
        <v>0</v>
      </c>
      <c r="JC11" s="1">
        <f t="shared" si="22"/>
        <v>0</v>
      </c>
      <c r="JD11" s="1">
        <f t="shared" si="22"/>
        <v>0</v>
      </c>
      <c r="JE11" s="1">
        <f t="shared" si="22"/>
        <v>0</v>
      </c>
      <c r="JF11" s="1">
        <f t="shared" si="22"/>
        <v>0</v>
      </c>
      <c r="JG11" s="1">
        <f t="shared" si="22"/>
        <v>0</v>
      </c>
      <c r="JH11" s="1">
        <f t="shared" si="22"/>
        <v>0</v>
      </c>
      <c r="JI11" s="1">
        <f t="shared" si="22"/>
        <v>0</v>
      </c>
      <c r="JJ11" s="1">
        <f t="shared" si="22"/>
        <v>0</v>
      </c>
      <c r="JK11" s="1">
        <f t="shared" si="22"/>
        <v>0</v>
      </c>
      <c r="JL11" s="1">
        <f t="shared" si="22"/>
        <v>0</v>
      </c>
      <c r="JM11" s="1">
        <f t="shared" si="22"/>
        <v>0</v>
      </c>
      <c r="JN11" s="1">
        <f t="shared" si="22"/>
        <v>0</v>
      </c>
      <c r="JO11" s="1">
        <f t="shared" si="22"/>
        <v>0</v>
      </c>
      <c r="JP11" s="1">
        <f t="shared" si="22"/>
        <v>0</v>
      </c>
      <c r="JQ11" s="1">
        <f t="shared" si="22"/>
        <v>186.4</v>
      </c>
      <c r="JR11" s="1">
        <f t="shared" si="22"/>
        <v>0</v>
      </c>
      <c r="JS11" s="1">
        <f t="shared" si="22"/>
        <v>0</v>
      </c>
      <c r="JT11" s="1">
        <f t="shared" si="22"/>
        <v>0</v>
      </c>
      <c r="JU11" s="1">
        <f t="shared" si="22"/>
        <v>0</v>
      </c>
      <c r="JV11" s="1">
        <f t="shared" si="22"/>
        <v>0</v>
      </c>
      <c r="JW11" s="1">
        <f t="shared" si="22"/>
        <v>0</v>
      </c>
      <c r="JX11" s="1">
        <f t="shared" si="22"/>
        <v>0</v>
      </c>
      <c r="JY11" s="1">
        <f t="shared" si="22"/>
        <v>0</v>
      </c>
      <c r="JZ11" s="1">
        <f t="shared" si="22"/>
        <v>0</v>
      </c>
      <c r="KA11" s="1">
        <f t="shared" si="22"/>
        <v>0</v>
      </c>
      <c r="KB11" s="1">
        <f t="shared" si="22"/>
        <v>0</v>
      </c>
      <c r="KC11" s="1">
        <f t="shared" si="22"/>
        <v>0</v>
      </c>
      <c r="KD11" s="1">
        <f t="shared" si="22"/>
        <v>80.789999999999992</v>
      </c>
      <c r="KE11" s="1">
        <f t="shared" si="22"/>
        <v>80.789999999999992</v>
      </c>
      <c r="KF11" s="1">
        <f t="shared" si="22"/>
        <v>0</v>
      </c>
      <c r="KG11" s="1">
        <f t="shared" si="22"/>
        <v>0</v>
      </c>
      <c r="KH11" s="1">
        <f t="shared" si="22"/>
        <v>0</v>
      </c>
      <c r="KI11" s="1">
        <f t="shared" si="22"/>
        <v>0</v>
      </c>
      <c r="KJ11" s="1">
        <f t="shared" si="22"/>
        <v>0</v>
      </c>
      <c r="KK11" s="1">
        <f t="shared" si="22"/>
        <v>0</v>
      </c>
      <c r="KL11" s="1">
        <f t="shared" si="22"/>
        <v>0</v>
      </c>
      <c r="KM11" s="1">
        <f t="shared" si="22"/>
        <v>0</v>
      </c>
      <c r="KN11" s="1">
        <f t="shared" si="22"/>
        <v>0</v>
      </c>
      <c r="KO11" s="1">
        <f t="shared" si="22"/>
        <v>0</v>
      </c>
      <c r="KP11" s="1">
        <f t="shared" si="22"/>
        <v>0</v>
      </c>
      <c r="KQ11" s="1">
        <f t="shared" si="22"/>
        <v>0</v>
      </c>
      <c r="KR11" s="1">
        <f t="shared" si="22"/>
        <v>0</v>
      </c>
      <c r="KS11" s="1">
        <f t="shared" si="22"/>
        <v>0</v>
      </c>
      <c r="KT11" s="1">
        <f t="shared" si="22"/>
        <v>0</v>
      </c>
      <c r="KU11" s="1">
        <f t="shared" si="22"/>
        <v>0</v>
      </c>
      <c r="KV11" s="1">
        <f t="shared" si="22"/>
        <v>0</v>
      </c>
      <c r="KW11" s="1">
        <f t="shared" si="22"/>
        <v>0</v>
      </c>
      <c r="KX11" s="1">
        <f t="shared" si="22"/>
        <v>0</v>
      </c>
      <c r="KY11" s="1">
        <f t="shared" si="22"/>
        <v>0</v>
      </c>
      <c r="KZ11" s="1">
        <f t="shared" si="22"/>
        <v>0</v>
      </c>
      <c r="LA11" s="1">
        <f t="shared" si="22"/>
        <v>0</v>
      </c>
      <c r="LB11" s="1">
        <f t="shared" si="22"/>
        <v>0</v>
      </c>
      <c r="LC11" s="1">
        <f t="shared" si="22"/>
        <v>0</v>
      </c>
      <c r="LD11" s="1">
        <f t="shared" si="22"/>
        <v>0</v>
      </c>
      <c r="LE11" s="1">
        <f t="shared" si="22"/>
        <v>0</v>
      </c>
      <c r="LF11" s="1">
        <f t="shared" si="22"/>
        <v>0</v>
      </c>
      <c r="LG11" s="1">
        <f t="shared" si="22"/>
        <v>0</v>
      </c>
      <c r="LH11" s="1">
        <f t="shared" si="22"/>
        <v>0</v>
      </c>
      <c r="LI11" s="1">
        <f t="shared" si="22"/>
        <v>0</v>
      </c>
      <c r="LJ11" s="1">
        <f t="shared" ref="LJ11:NB11" si="23">LJ9+LJ10</f>
        <v>0</v>
      </c>
      <c r="LK11" s="1">
        <f t="shared" si="23"/>
        <v>0</v>
      </c>
      <c r="LL11" s="1">
        <f t="shared" si="23"/>
        <v>0</v>
      </c>
      <c r="LM11" s="1">
        <f t="shared" si="23"/>
        <v>0</v>
      </c>
      <c r="LN11" s="1">
        <f t="shared" si="23"/>
        <v>0</v>
      </c>
      <c r="LO11" s="1">
        <f t="shared" si="23"/>
        <v>0</v>
      </c>
      <c r="LP11" s="1">
        <f t="shared" si="23"/>
        <v>0</v>
      </c>
      <c r="LQ11" s="1">
        <f t="shared" si="23"/>
        <v>0</v>
      </c>
      <c r="LR11" s="1">
        <f t="shared" si="23"/>
        <v>0</v>
      </c>
      <c r="LS11" s="1">
        <f t="shared" si="23"/>
        <v>0</v>
      </c>
      <c r="LT11" s="1">
        <f t="shared" si="23"/>
        <v>0</v>
      </c>
      <c r="LU11" s="1">
        <f t="shared" si="23"/>
        <v>0</v>
      </c>
      <c r="LV11" s="1">
        <f t="shared" si="23"/>
        <v>0</v>
      </c>
      <c r="LW11" s="1">
        <f t="shared" si="23"/>
        <v>0</v>
      </c>
      <c r="LX11" s="1">
        <f t="shared" si="23"/>
        <v>0</v>
      </c>
      <c r="LY11" s="1">
        <f t="shared" si="23"/>
        <v>0</v>
      </c>
      <c r="LZ11" s="1">
        <f t="shared" si="23"/>
        <v>0</v>
      </c>
      <c r="MA11" s="1">
        <f t="shared" si="23"/>
        <v>0</v>
      </c>
      <c r="MB11" s="1">
        <f t="shared" si="23"/>
        <v>0</v>
      </c>
      <c r="MC11" s="1">
        <f t="shared" si="23"/>
        <v>0</v>
      </c>
      <c r="MD11" s="1">
        <f t="shared" si="23"/>
        <v>0</v>
      </c>
      <c r="ME11" s="1">
        <f t="shared" si="23"/>
        <v>0</v>
      </c>
      <c r="MF11" s="1">
        <f t="shared" si="23"/>
        <v>0</v>
      </c>
      <c r="MG11" s="1">
        <f t="shared" si="23"/>
        <v>0</v>
      </c>
      <c r="MH11" s="1">
        <f t="shared" si="23"/>
        <v>0</v>
      </c>
      <c r="MI11" s="1">
        <f t="shared" si="23"/>
        <v>0</v>
      </c>
      <c r="MJ11" s="1">
        <f t="shared" si="23"/>
        <v>0</v>
      </c>
      <c r="MK11" s="1">
        <f t="shared" si="23"/>
        <v>0</v>
      </c>
      <c r="ML11" s="1">
        <f t="shared" si="23"/>
        <v>0</v>
      </c>
      <c r="MM11" s="1">
        <f t="shared" si="23"/>
        <v>0</v>
      </c>
      <c r="MN11" s="1">
        <f t="shared" si="23"/>
        <v>0</v>
      </c>
      <c r="MO11" s="1">
        <f t="shared" si="23"/>
        <v>0</v>
      </c>
      <c r="MP11" s="1">
        <f t="shared" si="23"/>
        <v>0</v>
      </c>
      <c r="MQ11" s="1">
        <f t="shared" si="23"/>
        <v>0</v>
      </c>
      <c r="MR11" s="1">
        <f t="shared" si="23"/>
        <v>0</v>
      </c>
      <c r="MS11" s="1">
        <f t="shared" si="23"/>
        <v>0</v>
      </c>
      <c r="MT11" s="1">
        <f t="shared" si="23"/>
        <v>0</v>
      </c>
      <c r="MU11" s="1">
        <f t="shared" si="23"/>
        <v>0</v>
      </c>
      <c r="MV11" s="1">
        <f t="shared" si="23"/>
        <v>0</v>
      </c>
      <c r="MW11" s="1">
        <f t="shared" si="23"/>
        <v>0</v>
      </c>
      <c r="MX11" s="1">
        <f t="shared" si="23"/>
        <v>0</v>
      </c>
      <c r="MY11" s="1">
        <f t="shared" si="23"/>
        <v>0</v>
      </c>
      <c r="MZ11" s="1">
        <f t="shared" si="23"/>
        <v>0</v>
      </c>
      <c r="NA11" s="1">
        <f t="shared" si="23"/>
        <v>0</v>
      </c>
      <c r="NB11" s="1">
        <f t="shared" si="23"/>
        <v>0</v>
      </c>
      <c r="NC11">
        <v>117867.87</v>
      </c>
    </row>
    <row r="12" spans="1:367" x14ac:dyDescent="0.3">
      <c r="A12" t="s">
        <v>375</v>
      </c>
      <c r="B12" s="1">
        <f t="shared" ref="B12:BM12" si="24">B11+B2</f>
        <v>1002.17</v>
      </c>
      <c r="C12" s="1">
        <f t="shared" si="24"/>
        <v>483.57</v>
      </c>
      <c r="D12" s="1">
        <f t="shared" si="24"/>
        <v>535.08000000000004</v>
      </c>
      <c r="E12" s="1">
        <f t="shared" si="24"/>
        <v>173.02</v>
      </c>
      <c r="F12" s="1">
        <f t="shared" si="24"/>
        <v>0</v>
      </c>
      <c r="G12" s="1">
        <f t="shared" si="24"/>
        <v>0</v>
      </c>
      <c r="H12" s="1">
        <f t="shared" si="24"/>
        <v>0</v>
      </c>
      <c r="I12" s="1">
        <f t="shared" si="24"/>
        <v>0</v>
      </c>
      <c r="J12" s="1">
        <f t="shared" si="24"/>
        <v>214.64000000000001</v>
      </c>
      <c r="K12" s="1">
        <f t="shared" si="24"/>
        <v>209.43</v>
      </c>
      <c r="L12" s="1">
        <f t="shared" si="24"/>
        <v>0</v>
      </c>
      <c r="M12" s="1">
        <f t="shared" si="24"/>
        <v>0</v>
      </c>
      <c r="N12" s="1">
        <f t="shared" si="24"/>
        <v>0</v>
      </c>
      <c r="O12" s="1">
        <f t="shared" si="24"/>
        <v>105.62</v>
      </c>
      <c r="P12" s="1">
        <f t="shared" si="24"/>
        <v>0</v>
      </c>
      <c r="Q12" s="1">
        <f t="shared" si="24"/>
        <v>90.62</v>
      </c>
      <c r="R12" s="1">
        <f t="shared" si="24"/>
        <v>90.62</v>
      </c>
      <c r="S12" s="1">
        <f t="shared" si="24"/>
        <v>0</v>
      </c>
      <c r="T12" s="1">
        <f t="shared" si="24"/>
        <v>0</v>
      </c>
      <c r="U12" s="1">
        <f t="shared" si="24"/>
        <v>0</v>
      </c>
      <c r="V12" s="1">
        <f t="shared" si="24"/>
        <v>0</v>
      </c>
      <c r="W12" s="1">
        <f t="shared" si="24"/>
        <v>0</v>
      </c>
      <c r="X12" s="1">
        <f t="shared" si="24"/>
        <v>0</v>
      </c>
      <c r="Y12" s="1">
        <f t="shared" si="24"/>
        <v>173.23000000000002</v>
      </c>
      <c r="Z12" s="1">
        <f t="shared" si="24"/>
        <v>0</v>
      </c>
      <c r="AA12" s="1">
        <f t="shared" si="24"/>
        <v>0</v>
      </c>
      <c r="AB12" s="1">
        <f t="shared" si="24"/>
        <v>63.019999999999996</v>
      </c>
      <c r="AC12" s="1">
        <f t="shared" si="24"/>
        <v>63.019999999999996</v>
      </c>
      <c r="AD12" s="1">
        <f t="shared" si="24"/>
        <v>63.019999999999996</v>
      </c>
      <c r="AE12" s="1">
        <f t="shared" si="24"/>
        <v>129.99</v>
      </c>
      <c r="AF12" s="1">
        <f t="shared" si="24"/>
        <v>230.52</v>
      </c>
      <c r="AG12" s="1">
        <f t="shared" si="24"/>
        <v>122.25</v>
      </c>
      <c r="AH12" s="1">
        <f t="shared" si="24"/>
        <v>151.84</v>
      </c>
      <c r="AI12" s="1">
        <f t="shared" si="24"/>
        <v>136.84</v>
      </c>
      <c r="AJ12" s="1">
        <f t="shared" si="24"/>
        <v>73.679999999999993</v>
      </c>
      <c r="AK12" s="1">
        <f t="shared" si="24"/>
        <v>0</v>
      </c>
      <c r="AL12" s="1">
        <f t="shared" si="24"/>
        <v>196.95000000000002</v>
      </c>
      <c r="AM12" s="1">
        <f t="shared" si="24"/>
        <v>178.16</v>
      </c>
      <c r="AN12" s="1">
        <f t="shared" si="24"/>
        <v>411.65000000000003</v>
      </c>
      <c r="AO12" s="1">
        <f t="shared" si="24"/>
        <v>291.65000000000003</v>
      </c>
      <c r="AP12" s="1">
        <f t="shared" si="24"/>
        <v>381.13</v>
      </c>
      <c r="AQ12" s="1">
        <f t="shared" si="24"/>
        <v>500.60999999999996</v>
      </c>
      <c r="AR12" s="1">
        <f t="shared" si="24"/>
        <v>178.96</v>
      </c>
      <c r="AS12" s="1">
        <f t="shared" si="24"/>
        <v>757.53000000000009</v>
      </c>
      <c r="AT12" s="1">
        <f t="shared" si="24"/>
        <v>2316.5700000000002</v>
      </c>
      <c r="AU12" s="1">
        <f t="shared" si="24"/>
        <v>71.069999999999993</v>
      </c>
      <c r="AV12" s="1">
        <f t="shared" si="24"/>
        <v>71.069999999999993</v>
      </c>
      <c r="AW12" s="1">
        <f t="shared" si="24"/>
        <v>0</v>
      </c>
      <c r="AX12" s="1">
        <f t="shared" si="24"/>
        <v>0</v>
      </c>
      <c r="AY12" s="1">
        <f t="shared" si="24"/>
        <v>186.54</v>
      </c>
      <c r="AZ12" s="1">
        <f t="shared" si="24"/>
        <v>294.75</v>
      </c>
      <c r="BA12" s="1">
        <f t="shared" si="24"/>
        <v>118.06</v>
      </c>
      <c r="BB12" s="1">
        <f t="shared" si="24"/>
        <v>0</v>
      </c>
      <c r="BC12" s="1">
        <f t="shared" si="24"/>
        <v>0</v>
      </c>
      <c r="BD12" s="1">
        <f t="shared" si="24"/>
        <v>123.27</v>
      </c>
      <c r="BE12" s="1">
        <f t="shared" si="24"/>
        <v>103.06</v>
      </c>
      <c r="BF12" s="1">
        <f t="shared" si="24"/>
        <v>0</v>
      </c>
      <c r="BG12" s="1">
        <f t="shared" si="24"/>
        <v>93.27</v>
      </c>
      <c r="BH12" s="1">
        <f t="shared" si="24"/>
        <v>473.47</v>
      </c>
      <c r="BI12" s="1">
        <f t="shared" si="24"/>
        <v>0</v>
      </c>
      <c r="BJ12" s="1">
        <f t="shared" si="24"/>
        <v>0</v>
      </c>
      <c r="BK12" s="1">
        <f t="shared" si="24"/>
        <v>0</v>
      </c>
      <c r="BL12" s="1">
        <f t="shared" si="24"/>
        <v>0</v>
      </c>
      <c r="BM12" s="1">
        <f t="shared" si="24"/>
        <v>0</v>
      </c>
      <c r="BN12" s="1">
        <f t="shared" ref="BN12:DY12" si="25">BN11+BN2</f>
        <v>262.09999999999997</v>
      </c>
      <c r="BO12" s="1">
        <f t="shared" si="25"/>
        <v>768.5</v>
      </c>
      <c r="BP12" s="1">
        <f t="shared" si="25"/>
        <v>80.81</v>
      </c>
      <c r="BQ12" s="1">
        <f t="shared" si="25"/>
        <v>80.81</v>
      </c>
      <c r="BR12" s="1">
        <f t="shared" si="25"/>
        <v>0</v>
      </c>
      <c r="BS12" s="1">
        <f t="shared" si="25"/>
        <v>0</v>
      </c>
      <c r="BT12" s="1">
        <f t="shared" si="25"/>
        <v>0</v>
      </c>
      <c r="BU12" s="1">
        <f t="shared" si="25"/>
        <v>140.29000000000002</v>
      </c>
      <c r="BV12" s="1">
        <f t="shared" si="25"/>
        <v>622.44000000000005</v>
      </c>
      <c r="BW12" s="1">
        <f t="shared" si="25"/>
        <v>0</v>
      </c>
      <c r="BX12" s="1">
        <f t="shared" si="25"/>
        <v>0</v>
      </c>
      <c r="BY12" s="1">
        <f t="shared" si="25"/>
        <v>0</v>
      </c>
      <c r="BZ12" s="1">
        <f t="shared" si="25"/>
        <v>0</v>
      </c>
      <c r="CA12" s="1">
        <f t="shared" si="25"/>
        <v>0</v>
      </c>
      <c r="CB12" s="1">
        <f t="shared" si="25"/>
        <v>233.84</v>
      </c>
      <c r="CC12" s="1">
        <f t="shared" si="25"/>
        <v>816.22</v>
      </c>
      <c r="CD12" s="1">
        <f t="shared" si="25"/>
        <v>0</v>
      </c>
      <c r="CE12" s="1">
        <f t="shared" si="25"/>
        <v>0</v>
      </c>
      <c r="CF12" s="1">
        <f t="shared" si="25"/>
        <v>0</v>
      </c>
      <c r="CG12" s="1">
        <f t="shared" si="25"/>
        <v>95.97999999999999</v>
      </c>
      <c r="CH12" s="1">
        <f t="shared" si="25"/>
        <v>95.97999999999999</v>
      </c>
      <c r="CI12" s="1">
        <f t="shared" si="25"/>
        <v>228.47</v>
      </c>
      <c r="CJ12" s="1">
        <f t="shared" si="25"/>
        <v>382</v>
      </c>
      <c r="CK12" s="1">
        <f t="shared" si="25"/>
        <v>94.85</v>
      </c>
      <c r="CL12" s="1">
        <f t="shared" si="25"/>
        <v>193.26000000000002</v>
      </c>
      <c r="CM12" s="1">
        <f t="shared" si="25"/>
        <v>94.85</v>
      </c>
      <c r="CN12" s="1">
        <f t="shared" si="25"/>
        <v>207.92</v>
      </c>
      <c r="CO12" s="1">
        <f t="shared" si="25"/>
        <v>650.39</v>
      </c>
      <c r="CP12" s="1">
        <f t="shared" si="25"/>
        <v>1926.04</v>
      </c>
      <c r="CQ12" s="1">
        <f t="shared" si="25"/>
        <v>2445.44</v>
      </c>
      <c r="CR12" s="1">
        <f t="shared" si="25"/>
        <v>632.53000000000009</v>
      </c>
      <c r="CS12" s="1">
        <f t="shared" si="25"/>
        <v>384.09</v>
      </c>
      <c r="CT12" s="1">
        <f t="shared" si="25"/>
        <v>840.57</v>
      </c>
      <c r="CU12" s="1">
        <f t="shared" si="25"/>
        <v>749.57</v>
      </c>
      <c r="CV12" s="1">
        <f t="shared" si="25"/>
        <v>1062.29</v>
      </c>
      <c r="CW12" s="1">
        <f t="shared" si="25"/>
        <v>1246.1600000000001</v>
      </c>
      <c r="CX12" s="1">
        <f t="shared" si="25"/>
        <v>2900.93</v>
      </c>
      <c r="CY12" s="1">
        <f t="shared" si="25"/>
        <v>630.71</v>
      </c>
      <c r="CZ12" s="1">
        <f t="shared" si="25"/>
        <v>255.15</v>
      </c>
      <c r="DA12" s="1">
        <f t="shared" si="25"/>
        <v>470.99</v>
      </c>
      <c r="DB12" s="1">
        <f t="shared" si="25"/>
        <v>966.75</v>
      </c>
      <c r="DC12" s="1">
        <f t="shared" si="25"/>
        <v>3030.5</v>
      </c>
      <c r="DD12" s="1">
        <f t="shared" si="25"/>
        <v>2800.16</v>
      </c>
      <c r="DE12" s="1">
        <f t="shared" si="25"/>
        <v>2719.26</v>
      </c>
      <c r="DF12" s="1">
        <f t="shared" si="25"/>
        <v>1616.35</v>
      </c>
      <c r="DG12" s="1">
        <f t="shared" si="25"/>
        <v>1716.48</v>
      </c>
      <c r="DH12" s="1">
        <f t="shared" si="25"/>
        <v>1881.6200000000001</v>
      </c>
      <c r="DI12" s="1">
        <f t="shared" si="25"/>
        <v>1501.6899999999998</v>
      </c>
      <c r="DJ12" s="1">
        <f t="shared" si="25"/>
        <v>1920.81</v>
      </c>
      <c r="DK12" s="1">
        <f t="shared" si="25"/>
        <v>2624.17</v>
      </c>
      <c r="DL12" s="1">
        <f t="shared" si="25"/>
        <v>2573.37</v>
      </c>
      <c r="DM12" s="1">
        <f t="shared" si="25"/>
        <v>275.61</v>
      </c>
      <c r="DN12" s="1">
        <f t="shared" si="25"/>
        <v>792.13</v>
      </c>
      <c r="DO12" s="1">
        <f t="shared" si="25"/>
        <v>905.2</v>
      </c>
      <c r="DP12" s="1">
        <f t="shared" si="25"/>
        <v>1000.4</v>
      </c>
      <c r="DQ12" s="1">
        <f t="shared" si="25"/>
        <v>995.2</v>
      </c>
      <c r="DR12" s="1">
        <f t="shared" si="25"/>
        <v>2987.7</v>
      </c>
      <c r="DS12" s="1">
        <f t="shared" si="25"/>
        <v>2898.4900000000002</v>
      </c>
      <c r="DT12" s="1">
        <f t="shared" si="25"/>
        <v>86.89</v>
      </c>
      <c r="DU12" s="1">
        <f t="shared" si="25"/>
        <v>0</v>
      </c>
      <c r="DV12" s="1">
        <f t="shared" si="25"/>
        <v>0</v>
      </c>
      <c r="DW12" s="1">
        <f t="shared" si="25"/>
        <v>0</v>
      </c>
      <c r="DX12" s="1">
        <f t="shared" si="25"/>
        <v>0</v>
      </c>
      <c r="DY12" s="1">
        <f t="shared" si="25"/>
        <v>122.97</v>
      </c>
      <c r="DZ12" s="1">
        <f t="shared" ref="DZ12:GK12" si="26">DZ11+DZ2</f>
        <v>1846.35</v>
      </c>
      <c r="EA12" s="1">
        <f t="shared" si="26"/>
        <v>113.07</v>
      </c>
      <c r="EB12" s="1">
        <f t="shared" si="26"/>
        <v>113.07</v>
      </c>
      <c r="EC12" s="1">
        <f t="shared" si="26"/>
        <v>113.07</v>
      </c>
      <c r="ED12" s="1">
        <f t="shared" si="26"/>
        <v>226.14</v>
      </c>
      <c r="EE12" s="1">
        <f t="shared" si="26"/>
        <v>2286.75</v>
      </c>
      <c r="EF12" s="1">
        <f t="shared" si="26"/>
        <v>2932.35</v>
      </c>
      <c r="EG12" s="1">
        <f t="shared" si="26"/>
        <v>2615.36</v>
      </c>
      <c r="EH12" s="1">
        <f t="shared" si="26"/>
        <v>80.37</v>
      </c>
      <c r="EI12" s="1">
        <f t="shared" si="26"/>
        <v>301.42</v>
      </c>
      <c r="EJ12" s="1">
        <f t="shared" si="26"/>
        <v>301.42</v>
      </c>
      <c r="EK12" s="1">
        <f t="shared" si="26"/>
        <v>220.98</v>
      </c>
      <c r="EL12" s="1">
        <f t="shared" si="26"/>
        <v>333.91</v>
      </c>
      <c r="EM12" s="1">
        <f t="shared" si="26"/>
        <v>571.32000000000005</v>
      </c>
      <c r="EN12" s="1">
        <f t="shared" si="26"/>
        <v>3149.88</v>
      </c>
      <c r="EO12" s="1">
        <f t="shared" si="26"/>
        <v>329.12</v>
      </c>
      <c r="EP12" s="1">
        <f t="shared" si="26"/>
        <v>0</v>
      </c>
      <c r="EQ12" s="1">
        <f t="shared" si="26"/>
        <v>0</v>
      </c>
      <c r="ER12" s="1">
        <f t="shared" si="26"/>
        <v>0</v>
      </c>
      <c r="ES12" s="1">
        <f t="shared" si="26"/>
        <v>0</v>
      </c>
      <c r="ET12" s="1">
        <f t="shared" si="26"/>
        <v>0</v>
      </c>
      <c r="EU12" s="1">
        <f t="shared" si="26"/>
        <v>1999.05</v>
      </c>
      <c r="EV12" s="1">
        <f t="shared" si="26"/>
        <v>0</v>
      </c>
      <c r="EW12" s="1">
        <f t="shared" si="26"/>
        <v>103.11999999999999</v>
      </c>
      <c r="EX12" s="1">
        <f t="shared" si="26"/>
        <v>0</v>
      </c>
      <c r="EY12" s="1">
        <f t="shared" si="26"/>
        <v>0</v>
      </c>
      <c r="EZ12" s="1">
        <f t="shared" si="26"/>
        <v>942.16000000000008</v>
      </c>
      <c r="FA12" s="1">
        <f t="shared" si="26"/>
        <v>1559.3899999999999</v>
      </c>
      <c r="FB12" s="1">
        <f t="shared" si="26"/>
        <v>1835.16</v>
      </c>
      <c r="FC12" s="1">
        <f t="shared" si="26"/>
        <v>114.02</v>
      </c>
      <c r="FD12" s="1">
        <f t="shared" si="26"/>
        <v>111.51</v>
      </c>
      <c r="FE12" s="1">
        <f t="shared" si="26"/>
        <v>111.51</v>
      </c>
      <c r="FF12" s="1">
        <f t="shared" si="26"/>
        <v>114.16</v>
      </c>
      <c r="FG12" s="1">
        <f t="shared" si="26"/>
        <v>0</v>
      </c>
      <c r="FH12" s="1">
        <f t="shared" si="26"/>
        <v>226.28</v>
      </c>
      <c r="FI12" s="1">
        <f t="shared" si="26"/>
        <v>1479.4599999999998</v>
      </c>
      <c r="FJ12" s="1">
        <f t="shared" si="26"/>
        <v>0</v>
      </c>
      <c r="FK12" s="1">
        <f t="shared" si="26"/>
        <v>0</v>
      </c>
      <c r="FL12" s="1">
        <f t="shared" si="26"/>
        <v>0</v>
      </c>
      <c r="FM12" s="1">
        <f t="shared" si="26"/>
        <v>0</v>
      </c>
      <c r="FN12" s="1">
        <f t="shared" si="26"/>
        <v>0</v>
      </c>
      <c r="FO12" s="1">
        <f t="shared" si="26"/>
        <v>259.85000000000002</v>
      </c>
      <c r="FP12" s="1">
        <f t="shared" si="26"/>
        <v>2893.59</v>
      </c>
      <c r="FQ12" s="1">
        <f t="shared" si="26"/>
        <v>0</v>
      </c>
      <c r="FR12" s="1">
        <f t="shared" si="26"/>
        <v>0</v>
      </c>
      <c r="FS12" s="1">
        <f t="shared" si="26"/>
        <v>0</v>
      </c>
      <c r="FT12" s="1">
        <f t="shared" si="26"/>
        <v>0</v>
      </c>
      <c r="FU12" s="1">
        <f t="shared" si="26"/>
        <v>0</v>
      </c>
      <c r="FV12" s="1">
        <f t="shared" si="26"/>
        <v>1278.3600000000001</v>
      </c>
      <c r="FW12" s="1">
        <f t="shared" si="26"/>
        <v>2639.9700000000003</v>
      </c>
      <c r="FX12" s="1">
        <f t="shared" si="26"/>
        <v>111.51</v>
      </c>
      <c r="FY12" s="1">
        <f t="shared" si="26"/>
        <v>191.95000000000002</v>
      </c>
      <c r="FZ12" s="1">
        <f t="shared" si="26"/>
        <v>191.95000000000002</v>
      </c>
      <c r="GA12" s="1">
        <f t="shared" si="26"/>
        <v>175.77</v>
      </c>
      <c r="GB12" s="1">
        <f t="shared" si="26"/>
        <v>0</v>
      </c>
      <c r="GC12" s="1">
        <f t="shared" si="26"/>
        <v>233.39</v>
      </c>
      <c r="GD12" s="1">
        <f t="shared" si="26"/>
        <v>2038.6</v>
      </c>
      <c r="GE12" s="1">
        <f t="shared" si="26"/>
        <v>424.66999999999996</v>
      </c>
      <c r="GF12" s="1">
        <f t="shared" si="26"/>
        <v>103.11999999999999</v>
      </c>
      <c r="GG12" s="1">
        <f t="shared" si="26"/>
        <v>103.11999999999999</v>
      </c>
      <c r="GH12" s="1">
        <f t="shared" si="26"/>
        <v>103.11999999999999</v>
      </c>
      <c r="GI12" s="1">
        <f t="shared" si="26"/>
        <v>103.11999999999999</v>
      </c>
      <c r="GJ12" s="1">
        <f t="shared" si="26"/>
        <v>212.94</v>
      </c>
      <c r="GK12" s="1">
        <f t="shared" si="26"/>
        <v>601.88</v>
      </c>
      <c r="GL12" s="1">
        <f t="shared" ref="GL12:IW12" si="27">GL11+GL2</f>
        <v>0</v>
      </c>
      <c r="GM12" s="1">
        <f t="shared" si="27"/>
        <v>0</v>
      </c>
      <c r="GN12" s="1">
        <f t="shared" si="27"/>
        <v>0</v>
      </c>
      <c r="GO12" s="1">
        <f t="shared" si="27"/>
        <v>0</v>
      </c>
      <c r="GP12" s="1">
        <f t="shared" si="27"/>
        <v>0</v>
      </c>
      <c r="GQ12" s="1">
        <f t="shared" si="27"/>
        <v>734.5</v>
      </c>
      <c r="GR12" s="1">
        <f t="shared" si="27"/>
        <v>460.95000000000005</v>
      </c>
      <c r="GS12" s="1">
        <f t="shared" si="27"/>
        <v>329.12</v>
      </c>
      <c r="GT12" s="1">
        <f t="shared" si="27"/>
        <v>0</v>
      </c>
      <c r="GU12" s="1">
        <f t="shared" si="27"/>
        <v>193.65</v>
      </c>
      <c r="GV12" s="1">
        <f t="shared" si="27"/>
        <v>0</v>
      </c>
      <c r="GW12" s="1">
        <f t="shared" si="27"/>
        <v>0</v>
      </c>
      <c r="GX12" s="1">
        <f t="shared" si="27"/>
        <v>122.97</v>
      </c>
      <c r="GY12" s="1">
        <f t="shared" si="27"/>
        <v>1067.04</v>
      </c>
      <c r="GZ12" s="1">
        <f t="shared" si="27"/>
        <v>432.2</v>
      </c>
      <c r="HA12" s="1">
        <f t="shared" si="27"/>
        <v>113.07</v>
      </c>
      <c r="HB12" s="1">
        <f t="shared" si="27"/>
        <v>113.07</v>
      </c>
      <c r="HC12" s="1">
        <f t="shared" si="27"/>
        <v>213.66</v>
      </c>
      <c r="HD12" s="1">
        <f t="shared" si="27"/>
        <v>301.63</v>
      </c>
      <c r="HE12" s="1">
        <f t="shared" si="27"/>
        <v>1165.6400000000001</v>
      </c>
      <c r="HF12" s="1">
        <f t="shared" si="27"/>
        <v>997.75</v>
      </c>
      <c r="HG12" s="1">
        <f t="shared" si="27"/>
        <v>211.07999999999998</v>
      </c>
      <c r="HH12" s="1">
        <f t="shared" si="27"/>
        <v>0</v>
      </c>
      <c r="HI12" s="1">
        <f t="shared" si="27"/>
        <v>0</v>
      </c>
      <c r="HJ12" s="1">
        <f t="shared" si="27"/>
        <v>0</v>
      </c>
      <c r="HK12" s="1">
        <f t="shared" si="27"/>
        <v>0</v>
      </c>
      <c r="HL12" s="1">
        <f t="shared" si="27"/>
        <v>491.88</v>
      </c>
      <c r="HM12" s="1">
        <f t="shared" si="27"/>
        <v>612.27</v>
      </c>
      <c r="HN12" s="1">
        <f t="shared" si="27"/>
        <v>0</v>
      </c>
      <c r="HO12" s="1">
        <f t="shared" si="27"/>
        <v>114.02</v>
      </c>
      <c r="HP12" s="1">
        <f t="shared" si="27"/>
        <v>239.08</v>
      </c>
      <c r="HQ12" s="1">
        <f t="shared" si="27"/>
        <v>239.08</v>
      </c>
      <c r="HR12" s="1">
        <f t="shared" si="27"/>
        <v>239.08</v>
      </c>
      <c r="HS12" s="1">
        <f t="shared" si="27"/>
        <v>259.94</v>
      </c>
      <c r="HT12" s="1">
        <f t="shared" si="27"/>
        <v>1394.63</v>
      </c>
      <c r="HU12" s="1">
        <f t="shared" si="27"/>
        <v>203.08</v>
      </c>
      <c r="HV12" s="1">
        <f t="shared" si="27"/>
        <v>102.49</v>
      </c>
      <c r="HW12" s="1">
        <f t="shared" si="27"/>
        <v>0</v>
      </c>
      <c r="HX12" s="1">
        <f t="shared" si="27"/>
        <v>0</v>
      </c>
      <c r="HY12" s="1">
        <f t="shared" si="27"/>
        <v>635.29000000000008</v>
      </c>
      <c r="HZ12" s="1">
        <f t="shared" si="27"/>
        <v>2948.45</v>
      </c>
      <c r="IA12" s="1">
        <f t="shared" si="27"/>
        <v>3307.66</v>
      </c>
      <c r="IB12" s="1">
        <f t="shared" si="27"/>
        <v>536.12</v>
      </c>
      <c r="IC12" s="1">
        <f t="shared" si="27"/>
        <v>0</v>
      </c>
      <c r="ID12" s="1">
        <f t="shared" si="27"/>
        <v>0</v>
      </c>
      <c r="IE12" s="1">
        <f t="shared" si="27"/>
        <v>0</v>
      </c>
      <c r="IF12" s="1">
        <f t="shared" si="27"/>
        <v>0</v>
      </c>
      <c r="IG12" s="1">
        <f t="shared" si="27"/>
        <v>0</v>
      </c>
      <c r="IH12" s="1">
        <f t="shared" si="27"/>
        <v>136.06</v>
      </c>
      <c r="II12" s="1">
        <f t="shared" si="27"/>
        <v>0</v>
      </c>
      <c r="IJ12" s="1">
        <f t="shared" si="27"/>
        <v>0</v>
      </c>
      <c r="IK12" s="1">
        <f t="shared" si="27"/>
        <v>0</v>
      </c>
      <c r="IL12" s="1">
        <f t="shared" si="27"/>
        <v>0</v>
      </c>
      <c r="IM12" s="1">
        <f t="shared" si="27"/>
        <v>0</v>
      </c>
      <c r="IN12" s="1">
        <f t="shared" si="27"/>
        <v>0</v>
      </c>
      <c r="IO12" s="1">
        <f t="shared" si="27"/>
        <v>1463.6299999999999</v>
      </c>
      <c r="IP12" s="1">
        <f t="shared" si="27"/>
        <v>0</v>
      </c>
      <c r="IQ12" s="1">
        <f t="shared" si="27"/>
        <v>0</v>
      </c>
      <c r="IR12" s="1">
        <f t="shared" si="27"/>
        <v>0</v>
      </c>
      <c r="IS12" s="1">
        <f t="shared" si="27"/>
        <v>0</v>
      </c>
      <c r="IT12" s="1">
        <f t="shared" si="27"/>
        <v>0</v>
      </c>
      <c r="IU12" s="1">
        <f t="shared" si="27"/>
        <v>0</v>
      </c>
      <c r="IV12" s="1">
        <f t="shared" si="27"/>
        <v>0</v>
      </c>
      <c r="IW12" s="1">
        <f t="shared" si="27"/>
        <v>0</v>
      </c>
      <c r="IX12" s="1">
        <f t="shared" ref="IX12:LI12" si="28">IX11+IX2</f>
        <v>0</v>
      </c>
      <c r="IY12" s="1">
        <f t="shared" si="28"/>
        <v>0</v>
      </c>
      <c r="IZ12" s="1">
        <f t="shared" si="28"/>
        <v>0</v>
      </c>
      <c r="JA12" s="1">
        <f t="shared" si="28"/>
        <v>0</v>
      </c>
      <c r="JB12" s="1">
        <f t="shared" si="28"/>
        <v>0</v>
      </c>
      <c r="JC12" s="1">
        <f t="shared" si="28"/>
        <v>0</v>
      </c>
      <c r="JD12" s="1">
        <f t="shared" si="28"/>
        <v>0</v>
      </c>
      <c r="JE12" s="1">
        <f t="shared" si="28"/>
        <v>0</v>
      </c>
      <c r="JF12" s="1">
        <f t="shared" si="28"/>
        <v>0</v>
      </c>
      <c r="JG12" s="1">
        <f t="shared" si="28"/>
        <v>0</v>
      </c>
      <c r="JH12" s="1">
        <f t="shared" si="28"/>
        <v>0</v>
      </c>
      <c r="JI12" s="1">
        <f t="shared" si="28"/>
        <v>0</v>
      </c>
      <c r="JJ12" s="1">
        <f t="shared" si="28"/>
        <v>0</v>
      </c>
      <c r="JK12" s="1">
        <f t="shared" si="28"/>
        <v>0</v>
      </c>
      <c r="JL12" s="1">
        <f t="shared" si="28"/>
        <v>0</v>
      </c>
      <c r="JM12" s="1">
        <f t="shared" si="28"/>
        <v>0</v>
      </c>
      <c r="JN12" s="1">
        <f t="shared" si="28"/>
        <v>0</v>
      </c>
      <c r="JO12" s="1">
        <f t="shared" si="28"/>
        <v>0</v>
      </c>
      <c r="JP12" s="1">
        <f t="shared" si="28"/>
        <v>0</v>
      </c>
      <c r="JQ12" s="1">
        <f t="shared" si="28"/>
        <v>186.4</v>
      </c>
      <c r="JR12" s="1">
        <f t="shared" si="28"/>
        <v>0</v>
      </c>
      <c r="JS12" s="1">
        <f t="shared" si="28"/>
        <v>0</v>
      </c>
      <c r="JT12" s="1">
        <f t="shared" si="28"/>
        <v>0</v>
      </c>
      <c r="JU12" s="1">
        <f t="shared" si="28"/>
        <v>0</v>
      </c>
      <c r="JV12" s="1">
        <f t="shared" si="28"/>
        <v>0</v>
      </c>
      <c r="JW12" s="1">
        <f t="shared" si="28"/>
        <v>0</v>
      </c>
      <c r="JX12" s="1">
        <f t="shared" si="28"/>
        <v>0</v>
      </c>
      <c r="JY12" s="1">
        <f t="shared" si="28"/>
        <v>0</v>
      </c>
      <c r="JZ12" s="1">
        <f t="shared" si="28"/>
        <v>0</v>
      </c>
      <c r="KA12" s="1">
        <f t="shared" si="28"/>
        <v>0</v>
      </c>
      <c r="KB12" s="1">
        <f t="shared" si="28"/>
        <v>0</v>
      </c>
      <c r="KC12" s="1">
        <f t="shared" si="28"/>
        <v>0</v>
      </c>
      <c r="KD12" s="1">
        <f t="shared" si="28"/>
        <v>80.789999999999992</v>
      </c>
      <c r="KE12" s="1">
        <f t="shared" si="28"/>
        <v>80.789999999999992</v>
      </c>
      <c r="KF12" s="1">
        <f t="shared" si="28"/>
        <v>0</v>
      </c>
      <c r="KG12" s="1">
        <f t="shared" si="28"/>
        <v>0</v>
      </c>
      <c r="KH12" s="1">
        <f t="shared" si="28"/>
        <v>0</v>
      </c>
      <c r="KI12" s="1">
        <f t="shared" si="28"/>
        <v>0</v>
      </c>
      <c r="KJ12" s="1">
        <f t="shared" si="28"/>
        <v>0</v>
      </c>
      <c r="KK12" s="1">
        <f t="shared" si="28"/>
        <v>0</v>
      </c>
      <c r="KL12" s="1">
        <f t="shared" si="28"/>
        <v>0</v>
      </c>
      <c r="KM12" s="1">
        <f t="shared" si="28"/>
        <v>0</v>
      </c>
      <c r="KN12" s="1">
        <f t="shared" si="28"/>
        <v>0</v>
      </c>
      <c r="KO12" s="1">
        <f t="shared" si="28"/>
        <v>0</v>
      </c>
      <c r="KP12" s="1">
        <f t="shared" si="28"/>
        <v>0</v>
      </c>
      <c r="KQ12" s="1">
        <f t="shared" si="28"/>
        <v>0</v>
      </c>
      <c r="KR12" s="1">
        <f t="shared" si="28"/>
        <v>0</v>
      </c>
      <c r="KS12" s="1">
        <f t="shared" si="28"/>
        <v>0</v>
      </c>
      <c r="KT12" s="1">
        <f t="shared" si="28"/>
        <v>0</v>
      </c>
      <c r="KU12" s="1">
        <f t="shared" si="28"/>
        <v>0</v>
      </c>
      <c r="KV12" s="1">
        <f t="shared" si="28"/>
        <v>0</v>
      </c>
      <c r="KW12" s="1">
        <f t="shared" si="28"/>
        <v>0</v>
      </c>
      <c r="KX12" s="1">
        <f t="shared" si="28"/>
        <v>0</v>
      </c>
      <c r="KY12" s="1">
        <f t="shared" si="28"/>
        <v>0</v>
      </c>
      <c r="KZ12" s="1">
        <f t="shared" si="28"/>
        <v>0</v>
      </c>
      <c r="LA12" s="1">
        <f t="shared" si="28"/>
        <v>0</v>
      </c>
      <c r="LB12" s="1">
        <f t="shared" si="28"/>
        <v>0</v>
      </c>
      <c r="LC12" s="1">
        <f t="shared" si="28"/>
        <v>0</v>
      </c>
      <c r="LD12" s="1">
        <f t="shared" si="28"/>
        <v>0</v>
      </c>
      <c r="LE12" s="1">
        <f t="shared" si="28"/>
        <v>0</v>
      </c>
      <c r="LF12" s="1">
        <f t="shared" si="28"/>
        <v>0</v>
      </c>
      <c r="LG12" s="1">
        <f t="shared" si="28"/>
        <v>0</v>
      </c>
      <c r="LH12" s="1">
        <f t="shared" si="28"/>
        <v>0</v>
      </c>
      <c r="LI12" s="1">
        <f t="shared" si="28"/>
        <v>0</v>
      </c>
      <c r="LJ12" s="1">
        <f t="shared" ref="LJ12:NB12" si="29">LJ11+LJ2</f>
        <v>0</v>
      </c>
      <c r="LK12" s="1">
        <f t="shared" si="29"/>
        <v>0</v>
      </c>
      <c r="LL12" s="1">
        <f t="shared" si="29"/>
        <v>0</v>
      </c>
      <c r="LM12" s="1">
        <f t="shared" si="29"/>
        <v>0</v>
      </c>
      <c r="LN12" s="1">
        <f t="shared" si="29"/>
        <v>0</v>
      </c>
      <c r="LO12" s="1">
        <f t="shared" si="29"/>
        <v>0</v>
      </c>
      <c r="LP12" s="1">
        <f t="shared" si="29"/>
        <v>0</v>
      </c>
      <c r="LQ12" s="1">
        <f t="shared" si="29"/>
        <v>0</v>
      </c>
      <c r="LR12" s="1">
        <f t="shared" si="29"/>
        <v>0</v>
      </c>
      <c r="LS12" s="1">
        <f t="shared" si="29"/>
        <v>0</v>
      </c>
      <c r="LT12" s="1">
        <f t="shared" si="29"/>
        <v>0</v>
      </c>
      <c r="LU12" s="1">
        <f t="shared" si="29"/>
        <v>0</v>
      </c>
      <c r="LV12" s="1">
        <f t="shared" si="29"/>
        <v>0</v>
      </c>
      <c r="LW12" s="1">
        <f t="shared" si="29"/>
        <v>0</v>
      </c>
      <c r="LX12" s="1">
        <f t="shared" si="29"/>
        <v>0</v>
      </c>
      <c r="LY12" s="1">
        <f t="shared" si="29"/>
        <v>0</v>
      </c>
      <c r="LZ12" s="1">
        <f t="shared" si="29"/>
        <v>0</v>
      </c>
      <c r="MA12" s="1">
        <f t="shared" si="29"/>
        <v>0</v>
      </c>
      <c r="MB12" s="1">
        <f t="shared" si="29"/>
        <v>0</v>
      </c>
      <c r="MC12" s="1">
        <f t="shared" si="29"/>
        <v>0</v>
      </c>
      <c r="MD12" s="1">
        <f t="shared" si="29"/>
        <v>0</v>
      </c>
      <c r="ME12" s="1">
        <f t="shared" si="29"/>
        <v>0</v>
      </c>
      <c r="MF12" s="1">
        <f t="shared" si="29"/>
        <v>0</v>
      </c>
      <c r="MG12" s="1">
        <f t="shared" si="29"/>
        <v>0</v>
      </c>
      <c r="MH12" s="1">
        <f t="shared" si="29"/>
        <v>0</v>
      </c>
      <c r="MI12" s="1">
        <f t="shared" si="29"/>
        <v>0</v>
      </c>
      <c r="MJ12" s="1">
        <f t="shared" si="29"/>
        <v>0</v>
      </c>
      <c r="MK12" s="1">
        <f t="shared" si="29"/>
        <v>0</v>
      </c>
      <c r="ML12" s="1">
        <f t="shared" si="29"/>
        <v>0</v>
      </c>
      <c r="MM12" s="1">
        <f t="shared" si="29"/>
        <v>0</v>
      </c>
      <c r="MN12" s="1">
        <f t="shared" si="29"/>
        <v>0</v>
      </c>
      <c r="MO12" s="1">
        <f t="shared" si="29"/>
        <v>0</v>
      </c>
      <c r="MP12" s="1">
        <f t="shared" si="29"/>
        <v>0</v>
      </c>
      <c r="MQ12" s="1">
        <f t="shared" si="29"/>
        <v>0</v>
      </c>
      <c r="MR12" s="1">
        <f t="shared" si="29"/>
        <v>0</v>
      </c>
      <c r="MS12" s="1">
        <f t="shared" si="29"/>
        <v>0</v>
      </c>
      <c r="MT12" s="1">
        <f t="shared" si="29"/>
        <v>0</v>
      </c>
      <c r="MU12" s="1">
        <f t="shared" si="29"/>
        <v>0</v>
      </c>
      <c r="MV12" s="1">
        <f t="shared" si="29"/>
        <v>0</v>
      </c>
      <c r="MW12" s="1">
        <f t="shared" si="29"/>
        <v>0</v>
      </c>
      <c r="MX12" s="1">
        <f t="shared" si="29"/>
        <v>0</v>
      </c>
      <c r="MY12" s="1">
        <f t="shared" si="29"/>
        <v>0</v>
      </c>
      <c r="MZ12" s="1">
        <f t="shared" si="29"/>
        <v>0</v>
      </c>
      <c r="NA12" s="1">
        <f t="shared" si="29"/>
        <v>0</v>
      </c>
      <c r="NB12" s="1">
        <f t="shared" si="29"/>
        <v>0</v>
      </c>
      <c r="NC12" t="s">
        <v>376</v>
      </c>
    </row>
    <row r="14" spans="1:367" x14ac:dyDescent="0.3">
      <c r="A14" t="s">
        <v>377</v>
      </c>
      <c r="BE14">
        <v>1</v>
      </c>
      <c r="BF14">
        <v>0</v>
      </c>
      <c r="BG14">
        <v>1</v>
      </c>
      <c r="BH14">
        <v>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</v>
      </c>
      <c r="BV14">
        <v>4</v>
      </c>
      <c r="BW14">
        <v>0</v>
      </c>
    </row>
    <row r="15" spans="1:367" x14ac:dyDescent="0.3">
      <c r="A15" t="s">
        <v>378</v>
      </c>
      <c r="BE15">
        <v>1</v>
      </c>
      <c r="BF15">
        <v>1</v>
      </c>
      <c r="BG15">
        <v>0</v>
      </c>
      <c r="BH15">
        <v>0</v>
      </c>
      <c r="BI15">
        <v>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7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16" customWidth="1"/>
    <col min="6" max="6" width="12" customWidth="1"/>
    <col min="7" max="7" width="18" customWidth="1"/>
    <col min="8" max="8" width="12" customWidth="1"/>
    <col min="9" max="10" width="16" customWidth="1"/>
    <col min="11" max="11" width="12" customWidth="1"/>
    <col min="12" max="12" width="18" customWidth="1"/>
  </cols>
  <sheetData>
    <row r="1" spans="1:12" x14ac:dyDescent="0.3">
      <c r="A1" s="3" t="s">
        <v>379</v>
      </c>
      <c r="B1" s="3" t="s">
        <v>380</v>
      </c>
      <c r="C1" s="3" t="s">
        <v>381</v>
      </c>
      <c r="D1" s="3" t="s">
        <v>382</v>
      </c>
      <c r="E1" s="3" t="s">
        <v>383</v>
      </c>
      <c r="F1" s="3" t="s">
        <v>367</v>
      </c>
      <c r="G1" s="3" t="s">
        <v>384</v>
      </c>
      <c r="H1" s="3" t="s">
        <v>385</v>
      </c>
      <c r="I1" s="3" t="s">
        <v>386</v>
      </c>
      <c r="J1" s="3" t="s">
        <v>387</v>
      </c>
      <c r="K1" s="3" t="s">
        <v>388</v>
      </c>
      <c r="L1" s="3" t="s">
        <v>389</v>
      </c>
    </row>
    <row r="2" spans="1:12" x14ac:dyDescent="0.3">
      <c r="A2" t="s">
        <v>390</v>
      </c>
      <c r="B2" s="4">
        <v>46023</v>
      </c>
      <c r="C2" s="4">
        <v>46026</v>
      </c>
      <c r="D2">
        <f>SUM('2026_Formulas'!B4:E4)</f>
        <v>108</v>
      </c>
      <c r="E2">
        <f>SUM('2026_Formulas'!B5:E5)</f>
        <v>23</v>
      </c>
      <c r="F2" s="2">
        <f t="shared" ref="F2:F33" si="0">IFERROR(E2/D2,0)</f>
        <v>0.21296296296296297</v>
      </c>
      <c r="G2" s="1">
        <f>SUM('2026_Formulas'!B6:E6)</f>
        <v>2033.5</v>
      </c>
      <c r="H2" s="1">
        <f t="shared" ref="H2:H33" si="1">IFERROR(G2/E2,0)</f>
        <v>88.413043478260875</v>
      </c>
      <c r="I2">
        <f>SUM('2026_Formulas'!B8:E8)</f>
        <v>38</v>
      </c>
      <c r="J2" s="1">
        <f>SUM('2026_Formulas'!B10:E10)</f>
        <v>85.339999999999989</v>
      </c>
      <c r="K2" s="1">
        <f>SUM('2026_Formulas'!B2:E2)</f>
        <v>75</v>
      </c>
      <c r="L2" s="1">
        <f>SUM('2026_Formulas'!B12:E12)</f>
        <v>2193.84</v>
      </c>
    </row>
    <row r="3" spans="1:12" x14ac:dyDescent="0.3">
      <c r="A3" t="s">
        <v>391</v>
      </c>
      <c r="B3" s="4">
        <v>46027</v>
      </c>
      <c r="C3" s="4">
        <v>46033</v>
      </c>
      <c r="D3">
        <f>SUM('2026_Formulas'!F4:L4)</f>
        <v>189</v>
      </c>
      <c r="E3">
        <f>SUM('2026_Formulas'!F5:L5)</f>
        <v>4</v>
      </c>
      <c r="F3" s="2">
        <f t="shared" si="0"/>
        <v>2.1164021164021163E-2</v>
      </c>
      <c r="G3" s="1">
        <f>SUM('2026_Formulas'!F6:L6)</f>
        <v>364.01</v>
      </c>
      <c r="H3" s="1">
        <f t="shared" si="1"/>
        <v>91.002499999999998</v>
      </c>
      <c r="I3">
        <f>SUM('2026_Formulas'!F8:L8)</f>
        <v>6</v>
      </c>
      <c r="J3" s="1">
        <f>SUM('2026_Formulas'!F10:L10)</f>
        <v>15.06</v>
      </c>
      <c r="K3" s="1">
        <f>SUM('2026_Formulas'!F2:L2)</f>
        <v>45</v>
      </c>
      <c r="L3" s="1">
        <f>SUM('2026_Formulas'!F12:L12)</f>
        <v>424.07000000000005</v>
      </c>
    </row>
    <row r="4" spans="1:12" x14ac:dyDescent="0.3">
      <c r="A4" t="s">
        <v>392</v>
      </c>
      <c r="B4" s="4">
        <v>46034</v>
      </c>
      <c r="C4" s="4">
        <v>46040</v>
      </c>
      <c r="D4">
        <f>SUM('2026_Formulas'!M4:S4)</f>
        <v>189</v>
      </c>
      <c r="E4">
        <f>SUM('2026_Formulas'!M5:S5)</f>
        <v>3</v>
      </c>
      <c r="F4" s="2">
        <f t="shared" si="0"/>
        <v>1.5873015873015872E-2</v>
      </c>
      <c r="G4" s="1">
        <f>SUM('2026_Formulas'!M6:S6)</f>
        <v>264.33</v>
      </c>
      <c r="H4" s="1">
        <f t="shared" si="1"/>
        <v>88.11</v>
      </c>
      <c r="I4">
        <f>SUM('2026_Formulas'!M8:S8)</f>
        <v>3</v>
      </c>
      <c r="J4" s="1">
        <f>SUM('2026_Formulas'!M10:S10)</f>
        <v>7.5299999999999994</v>
      </c>
      <c r="K4" s="1">
        <f>SUM('2026_Formulas'!M2:S2)</f>
        <v>15</v>
      </c>
      <c r="L4" s="1">
        <f>SUM('2026_Formulas'!M12:S12)</f>
        <v>286.86</v>
      </c>
    </row>
    <row r="5" spans="1:12" x14ac:dyDescent="0.3">
      <c r="A5" t="s">
        <v>393</v>
      </c>
      <c r="B5" s="4">
        <v>46041</v>
      </c>
      <c r="C5" s="4">
        <v>46047</v>
      </c>
      <c r="D5">
        <f>SUM('2026_Formulas'!T4:Z4)</f>
        <v>189</v>
      </c>
      <c r="E5">
        <f>SUM('2026_Formulas'!T5:Z5)</f>
        <v>2</v>
      </c>
      <c r="F5" s="2">
        <f t="shared" si="0"/>
        <v>1.0582010582010581E-2</v>
      </c>
      <c r="G5" s="1">
        <f>SUM('2026_Formulas'!T6:Z6)</f>
        <v>168.21</v>
      </c>
      <c r="H5" s="1">
        <f t="shared" si="1"/>
        <v>84.105000000000004</v>
      </c>
      <c r="I5">
        <f>SUM('2026_Formulas'!T8:Z8)</f>
        <v>2</v>
      </c>
      <c r="J5" s="1">
        <f>SUM('2026_Formulas'!T10:Z10)</f>
        <v>5.0199999999999996</v>
      </c>
      <c r="K5" s="1">
        <f>SUM('2026_Formulas'!T2:Z2)</f>
        <v>0</v>
      </c>
      <c r="L5" s="1">
        <f>SUM('2026_Formulas'!T12:Z12)</f>
        <v>173.23000000000002</v>
      </c>
    </row>
    <row r="6" spans="1:12" x14ac:dyDescent="0.3">
      <c r="A6" t="s">
        <v>394</v>
      </c>
      <c r="B6" s="4">
        <v>46048</v>
      </c>
      <c r="C6" s="4">
        <v>46054</v>
      </c>
      <c r="D6">
        <f>SUM('2026_Formulas'!AA4:AG4)</f>
        <v>189</v>
      </c>
      <c r="E6">
        <f>SUM('2026_Formulas'!AA5:AG5)</f>
        <v>10</v>
      </c>
      <c r="F6" s="2">
        <f t="shared" si="0"/>
        <v>5.2910052910052907E-2</v>
      </c>
      <c r="G6" s="1">
        <f>SUM('2026_Formulas'!AA6:AG6)</f>
        <v>613.80000000000007</v>
      </c>
      <c r="H6" s="1">
        <f t="shared" si="1"/>
        <v>61.38000000000001</v>
      </c>
      <c r="I6">
        <f>SUM('2026_Formulas'!AA8:AG8)</f>
        <v>17</v>
      </c>
      <c r="J6" s="1">
        <f>SUM('2026_Formulas'!AA10:AG10)</f>
        <v>43.019999999999996</v>
      </c>
      <c r="K6" s="1">
        <f>SUM('2026_Formulas'!AA2:AG2)</f>
        <v>15</v>
      </c>
      <c r="L6" s="1">
        <f>SUM('2026_Formulas'!AA12:AG12)</f>
        <v>671.82</v>
      </c>
    </row>
    <row r="7" spans="1:12" x14ac:dyDescent="0.3">
      <c r="A7" t="s">
        <v>395</v>
      </c>
      <c r="B7" s="4">
        <v>46055</v>
      </c>
      <c r="C7" s="4">
        <v>46061</v>
      </c>
      <c r="D7">
        <f>SUM('2026_Formulas'!AH4:AN4)</f>
        <v>189</v>
      </c>
      <c r="E7">
        <f>SUM('2026_Formulas'!AH5:AN5)</f>
        <v>12</v>
      </c>
      <c r="F7" s="2">
        <f t="shared" si="0"/>
        <v>6.3492063492063489E-2</v>
      </c>
      <c r="G7" s="1">
        <f>SUM('2026_Formulas'!AH6:AN6)</f>
        <v>930.42000000000007</v>
      </c>
      <c r="H7" s="1">
        <f t="shared" si="1"/>
        <v>77.535000000000011</v>
      </c>
      <c r="I7">
        <f>SUM('2026_Formulas'!AH8:AN8)</f>
        <v>15</v>
      </c>
      <c r="J7" s="1">
        <f>SUM('2026_Formulas'!AH10:AN10)</f>
        <v>38.700000000000003</v>
      </c>
      <c r="K7" s="1">
        <f>SUM('2026_Formulas'!AH2:AN2)</f>
        <v>180</v>
      </c>
      <c r="L7" s="1">
        <f>SUM('2026_Formulas'!AH12:AN12)</f>
        <v>1149.1200000000001</v>
      </c>
    </row>
    <row r="8" spans="1:12" x14ac:dyDescent="0.3">
      <c r="A8" t="s">
        <v>396</v>
      </c>
      <c r="B8" s="4">
        <v>46062</v>
      </c>
      <c r="C8" s="4">
        <v>46068</v>
      </c>
      <c r="D8">
        <f>SUM('2026_Formulas'!AO4:AU4)</f>
        <v>194</v>
      </c>
      <c r="E8">
        <f>SUM('2026_Formulas'!AO5:AU5)</f>
        <v>46</v>
      </c>
      <c r="F8" s="2">
        <f t="shared" si="0"/>
        <v>0.23711340206185566</v>
      </c>
      <c r="G8" s="1">
        <f>SUM('2026_Formulas'!AO6:AU6)</f>
        <v>3894.34</v>
      </c>
      <c r="H8" s="1">
        <f t="shared" si="1"/>
        <v>84.659565217391304</v>
      </c>
      <c r="I8">
        <f>SUM('2026_Formulas'!AO8:AU8)</f>
        <v>71</v>
      </c>
      <c r="J8" s="1">
        <f>SUM('2026_Formulas'!AO10:AU10)</f>
        <v>183.18</v>
      </c>
      <c r="K8" s="1">
        <f>SUM('2026_Formulas'!AO2:AU2)</f>
        <v>420</v>
      </c>
      <c r="L8" s="1">
        <f>SUM('2026_Formulas'!AO12:AU12)</f>
        <v>4497.5200000000004</v>
      </c>
    </row>
    <row r="9" spans="1:12" x14ac:dyDescent="0.3">
      <c r="A9" t="s">
        <v>397</v>
      </c>
      <c r="B9" s="4">
        <v>46069</v>
      </c>
      <c r="C9" s="4">
        <v>46075</v>
      </c>
      <c r="D9">
        <f>SUM('2026_Formulas'!AV4:BB4)</f>
        <v>196</v>
      </c>
      <c r="E9">
        <f>SUM('2026_Formulas'!AV5:BB5)</f>
        <v>7</v>
      </c>
      <c r="F9" s="2">
        <f t="shared" si="0"/>
        <v>3.5714285714285712E-2</v>
      </c>
      <c r="G9" s="1">
        <f>SUM('2026_Formulas'!AV6:BB6)</f>
        <v>594.46</v>
      </c>
      <c r="H9" s="1">
        <f t="shared" si="1"/>
        <v>84.922857142857154</v>
      </c>
      <c r="I9">
        <f>SUM('2026_Formulas'!AV8:BB8)</f>
        <v>13</v>
      </c>
      <c r="J9" s="1">
        <f>SUM('2026_Formulas'!AV10:BB10)</f>
        <v>30.96</v>
      </c>
      <c r="K9" s="1">
        <f>SUM('2026_Formulas'!AV2:BB2)</f>
        <v>45</v>
      </c>
      <c r="L9" s="1">
        <f>SUM('2026_Formulas'!AV12:BB12)</f>
        <v>670.42000000000007</v>
      </c>
    </row>
    <row r="10" spans="1:12" x14ac:dyDescent="0.3">
      <c r="A10" t="s">
        <v>398</v>
      </c>
      <c r="B10" s="4">
        <v>46076</v>
      </c>
      <c r="C10" s="4">
        <v>46082</v>
      </c>
      <c r="D10">
        <f>SUM('2026_Formulas'!BC4:BI4)</f>
        <v>196</v>
      </c>
      <c r="E10">
        <f>SUM('2026_Formulas'!BC5:BI5)</f>
        <v>8</v>
      </c>
      <c r="F10" s="2">
        <f t="shared" si="0"/>
        <v>4.0816326530612242E-2</v>
      </c>
      <c r="G10" s="1">
        <f>SUM('2026_Formulas'!BC6:BI6)</f>
        <v>721.79</v>
      </c>
      <c r="H10" s="1">
        <f t="shared" si="1"/>
        <v>90.223749999999995</v>
      </c>
      <c r="I10">
        <f>SUM('2026_Formulas'!BC8:BI8)</f>
        <v>16</v>
      </c>
      <c r="J10" s="1">
        <f>SUM('2026_Formulas'!BC10:BI10)</f>
        <v>41.28</v>
      </c>
      <c r="K10" s="1">
        <f>SUM('2026_Formulas'!BC2:BI2)</f>
        <v>30</v>
      </c>
      <c r="L10" s="1">
        <f>SUM('2026_Formulas'!BC12:BI12)</f>
        <v>793.06999999999994</v>
      </c>
    </row>
    <row r="11" spans="1:12" x14ac:dyDescent="0.3">
      <c r="A11" t="s">
        <v>399</v>
      </c>
      <c r="B11" s="4">
        <v>46083</v>
      </c>
      <c r="C11" s="4">
        <v>46089</v>
      </c>
      <c r="D11">
        <f>SUM('2026_Formulas'!BJ4:BP4)</f>
        <v>196</v>
      </c>
      <c r="E11">
        <f>SUM('2026_Formulas'!BJ5:BP5)</f>
        <v>12</v>
      </c>
      <c r="F11" s="2">
        <f t="shared" si="0"/>
        <v>6.1224489795918366E-2</v>
      </c>
      <c r="G11" s="1">
        <f>SUM('2026_Formulas'!BJ6:BP6)</f>
        <v>1054.6500000000001</v>
      </c>
      <c r="H11" s="1">
        <f t="shared" si="1"/>
        <v>87.887500000000003</v>
      </c>
      <c r="I11">
        <f>SUM('2026_Formulas'!BJ8:BP8)</f>
        <v>22</v>
      </c>
      <c r="J11" s="1">
        <f>SUM('2026_Formulas'!BJ10:BP10)</f>
        <v>56.760000000000005</v>
      </c>
      <c r="K11" s="1">
        <f>SUM('2026_Formulas'!BJ2:BP2)</f>
        <v>0</v>
      </c>
      <c r="L11" s="1">
        <f>SUM('2026_Formulas'!BJ12:BP12)</f>
        <v>1111.4099999999999</v>
      </c>
    </row>
    <row r="12" spans="1:12" x14ac:dyDescent="0.3">
      <c r="A12" t="s">
        <v>400</v>
      </c>
      <c r="B12" s="4">
        <v>46090</v>
      </c>
      <c r="C12" s="4">
        <v>46096</v>
      </c>
      <c r="D12">
        <f>SUM('2026_Formulas'!BQ4:BW4)</f>
        <v>196</v>
      </c>
      <c r="E12">
        <f>SUM('2026_Formulas'!BQ5:BW5)</f>
        <v>10</v>
      </c>
      <c r="F12" s="2">
        <f t="shared" si="0"/>
        <v>5.1020408163265307E-2</v>
      </c>
      <c r="G12" s="1">
        <f>SUM('2026_Formulas'!BQ6:BW6)</f>
        <v>799.68000000000006</v>
      </c>
      <c r="H12" s="1">
        <f t="shared" si="1"/>
        <v>79.968000000000004</v>
      </c>
      <c r="I12">
        <f>SUM('2026_Formulas'!BQ8:BW8)</f>
        <v>17</v>
      </c>
      <c r="J12" s="1">
        <f>SUM('2026_Formulas'!BQ10:BW10)</f>
        <v>43.86</v>
      </c>
      <c r="K12" s="1">
        <f>SUM('2026_Formulas'!BQ2:BW2)</f>
        <v>0</v>
      </c>
      <c r="L12" s="1">
        <f>SUM('2026_Formulas'!BQ12:BW12)</f>
        <v>843.54000000000008</v>
      </c>
    </row>
    <row r="13" spans="1:12" x14ac:dyDescent="0.3">
      <c r="A13" t="s">
        <v>401</v>
      </c>
      <c r="B13" s="4">
        <v>46097</v>
      </c>
      <c r="C13" s="4">
        <v>46103</v>
      </c>
      <c r="D13">
        <f>SUM('2026_Formulas'!BX4:CD4)</f>
        <v>196</v>
      </c>
      <c r="E13">
        <f>SUM('2026_Formulas'!BX5:CD5)</f>
        <v>9</v>
      </c>
      <c r="F13" s="2">
        <f t="shared" si="0"/>
        <v>4.5918367346938778E-2</v>
      </c>
      <c r="G13" s="1">
        <f>SUM('2026_Formulas'!BX6:CD6)</f>
        <v>1019.1</v>
      </c>
      <c r="H13" s="1">
        <f t="shared" si="1"/>
        <v>113.23333333333333</v>
      </c>
      <c r="I13">
        <f>SUM('2026_Formulas'!BX8:CD8)</f>
        <v>12</v>
      </c>
      <c r="J13" s="1">
        <f>SUM('2026_Formulas'!BX10:CD10)</f>
        <v>30.96</v>
      </c>
      <c r="K13" s="1">
        <f>SUM('2026_Formulas'!BX2:CD2)</f>
        <v>0</v>
      </c>
      <c r="L13" s="1">
        <f>SUM('2026_Formulas'!BX12:CD12)</f>
        <v>1050.06</v>
      </c>
    </row>
    <row r="14" spans="1:12" x14ac:dyDescent="0.3">
      <c r="A14" t="s">
        <v>402</v>
      </c>
      <c r="B14" s="4">
        <v>46104</v>
      </c>
      <c r="C14" s="4">
        <v>46110</v>
      </c>
      <c r="D14">
        <f>SUM('2026_Formulas'!CE4:CK4)</f>
        <v>196</v>
      </c>
      <c r="E14">
        <f>SUM('2026_Formulas'!CE5:CK5)</f>
        <v>8</v>
      </c>
      <c r="F14" s="2">
        <f t="shared" si="0"/>
        <v>4.0816326530612242E-2</v>
      </c>
      <c r="G14" s="1">
        <f>SUM('2026_Formulas'!CE6:CK6)</f>
        <v>856</v>
      </c>
      <c r="H14" s="1">
        <f t="shared" si="1"/>
        <v>107</v>
      </c>
      <c r="I14">
        <f>SUM('2026_Formulas'!CE8:CK8)</f>
        <v>16</v>
      </c>
      <c r="J14" s="1">
        <f>SUM('2026_Formulas'!CE10:CK10)</f>
        <v>41.28</v>
      </c>
      <c r="K14" s="1">
        <f>SUM('2026_Formulas'!CE2:CK2)</f>
        <v>0</v>
      </c>
      <c r="L14" s="1">
        <f>SUM('2026_Formulas'!CE12:CK12)</f>
        <v>897.28</v>
      </c>
    </row>
    <row r="15" spans="1:12" x14ac:dyDescent="0.3">
      <c r="A15" t="s">
        <v>403</v>
      </c>
      <c r="B15" s="4">
        <v>46111</v>
      </c>
      <c r="C15" s="4">
        <v>46117</v>
      </c>
      <c r="D15">
        <f>SUM('2026_Formulas'!CL4:CR4)</f>
        <v>196</v>
      </c>
      <c r="E15">
        <f>SUM('2026_Formulas'!CL5:CR5)</f>
        <v>54</v>
      </c>
      <c r="F15" s="2">
        <f t="shared" si="0"/>
        <v>0.27551020408163263</v>
      </c>
      <c r="G15" s="1">
        <f>SUM('2026_Formulas'!CL6:CR6)</f>
        <v>5876.95</v>
      </c>
      <c r="H15" s="1">
        <f t="shared" si="1"/>
        <v>108.8324074074074</v>
      </c>
      <c r="I15">
        <f>SUM('2026_Formulas'!CL8:CR8)</f>
        <v>106</v>
      </c>
      <c r="J15" s="1">
        <f>SUM('2026_Formulas'!CL10:CR10)</f>
        <v>273.47999999999996</v>
      </c>
      <c r="K15" s="1">
        <f>SUM('2026_Formulas'!CL2:CR2)</f>
        <v>0</v>
      </c>
      <c r="L15" s="1">
        <f>SUM('2026_Formulas'!CL12:CR12)</f>
        <v>6150.4299999999994</v>
      </c>
    </row>
    <row r="16" spans="1:12" x14ac:dyDescent="0.3">
      <c r="A16" t="s">
        <v>404</v>
      </c>
      <c r="B16" s="4">
        <v>46118</v>
      </c>
      <c r="C16" s="4">
        <v>46124</v>
      </c>
      <c r="D16">
        <f>SUM('2026_Formulas'!CS4:CY4)</f>
        <v>196</v>
      </c>
      <c r="E16">
        <f>SUM('2026_Formulas'!CS5:CY5)</f>
        <v>71</v>
      </c>
      <c r="F16" s="2">
        <f t="shared" si="0"/>
        <v>0.36224489795918369</v>
      </c>
      <c r="G16" s="1">
        <f>SUM('2026_Formulas'!CS6:CY6)</f>
        <v>7508.1399999999994</v>
      </c>
      <c r="H16" s="1">
        <f t="shared" si="1"/>
        <v>105.74845070422535</v>
      </c>
      <c r="I16">
        <f>SUM('2026_Formulas'!CS8:CY8)</f>
        <v>119</v>
      </c>
      <c r="J16" s="1">
        <f>SUM('2026_Formulas'!CS10:CY10)</f>
        <v>306.18000000000006</v>
      </c>
      <c r="K16" s="1">
        <f>SUM('2026_Formulas'!CS2:CY2)</f>
        <v>0</v>
      </c>
      <c r="L16" s="1">
        <f>SUM('2026_Formulas'!CS12:CY12)</f>
        <v>7814.3200000000006</v>
      </c>
    </row>
    <row r="17" spans="1:12" x14ac:dyDescent="0.3">
      <c r="A17" t="s">
        <v>405</v>
      </c>
      <c r="B17" s="4">
        <v>46125</v>
      </c>
      <c r="C17" s="4">
        <v>46131</v>
      </c>
      <c r="D17">
        <f>SUM('2026_Formulas'!CZ4:DF4)</f>
        <v>196</v>
      </c>
      <c r="E17">
        <f>SUM('2026_Formulas'!CZ5:DF5)</f>
        <v>105</v>
      </c>
      <c r="F17" s="2">
        <f t="shared" si="0"/>
        <v>0.5357142857142857</v>
      </c>
      <c r="G17" s="1">
        <f>SUM('2026_Formulas'!CZ6:DF6)</f>
        <v>11428.3</v>
      </c>
      <c r="H17" s="1">
        <f t="shared" si="1"/>
        <v>108.84095238095237</v>
      </c>
      <c r="I17">
        <f>SUM('2026_Formulas'!CZ8:DF8)</f>
        <v>171</v>
      </c>
      <c r="J17" s="1">
        <f>SUM('2026_Formulas'!CZ10:DF10)</f>
        <v>430.86</v>
      </c>
      <c r="K17" s="1">
        <f>SUM('2026_Formulas'!CZ2:DF2)</f>
        <v>0</v>
      </c>
      <c r="L17" s="1">
        <f>SUM('2026_Formulas'!CZ12:DF12)</f>
        <v>11859.16</v>
      </c>
    </row>
    <row r="18" spans="1:12" x14ac:dyDescent="0.3">
      <c r="A18" t="s">
        <v>406</v>
      </c>
      <c r="B18" s="4">
        <v>46132</v>
      </c>
      <c r="C18" s="4">
        <v>46138</v>
      </c>
      <c r="D18">
        <f>SUM('2026_Formulas'!DG4:DM4)</f>
        <v>196</v>
      </c>
      <c r="E18">
        <f>SUM('2026_Formulas'!DG5:DM5)</f>
        <v>113</v>
      </c>
      <c r="F18" s="2">
        <f t="shared" si="0"/>
        <v>0.57653061224489799</v>
      </c>
      <c r="G18" s="1">
        <f>SUM('2026_Formulas'!DG6:DM6)</f>
        <v>12047.410000000002</v>
      </c>
      <c r="H18" s="1">
        <f t="shared" si="1"/>
        <v>106.61424778761064</v>
      </c>
      <c r="I18">
        <f>SUM('2026_Formulas'!DG8:DM8)</f>
        <v>173</v>
      </c>
      <c r="J18" s="1">
        <f>SUM('2026_Formulas'!DG10:DM10)</f>
        <v>446.34</v>
      </c>
      <c r="K18" s="1">
        <f>SUM('2026_Formulas'!DG2:DM2)</f>
        <v>0</v>
      </c>
      <c r="L18" s="1">
        <f>SUM('2026_Formulas'!DG12:DM12)</f>
        <v>12493.75</v>
      </c>
    </row>
    <row r="19" spans="1:12" x14ac:dyDescent="0.3">
      <c r="A19" t="s">
        <v>407</v>
      </c>
      <c r="B19" s="4">
        <v>46139</v>
      </c>
      <c r="C19" s="4">
        <v>46145</v>
      </c>
      <c r="D19">
        <f>SUM('2026_Formulas'!DN4:DT4)</f>
        <v>196</v>
      </c>
      <c r="E19">
        <f>SUM('2026_Formulas'!DN5:DT5)</f>
        <v>86</v>
      </c>
      <c r="F19" s="2">
        <f t="shared" si="0"/>
        <v>0.43877551020408162</v>
      </c>
      <c r="G19" s="1">
        <f>SUM('2026_Formulas'!DN6:DT6)</f>
        <v>9268.83</v>
      </c>
      <c r="H19" s="1">
        <f t="shared" si="1"/>
        <v>107.77709302325582</v>
      </c>
      <c r="I19">
        <f>SUM('2026_Formulas'!DN8:DT8)</f>
        <v>151</v>
      </c>
      <c r="J19" s="1">
        <f>SUM('2026_Formulas'!DN10:DT10)</f>
        <v>397.18</v>
      </c>
      <c r="K19" s="1">
        <f>SUM('2026_Formulas'!DN2:DT2)</f>
        <v>0</v>
      </c>
      <c r="L19" s="1">
        <f>SUM('2026_Formulas'!DN12:DT12)</f>
        <v>9666.01</v>
      </c>
    </row>
    <row r="20" spans="1:12" x14ac:dyDescent="0.3">
      <c r="A20" t="s">
        <v>408</v>
      </c>
      <c r="B20" s="4">
        <v>46146</v>
      </c>
      <c r="C20" s="4">
        <v>46152</v>
      </c>
      <c r="D20">
        <f>SUM('2026_Formulas'!DU4:EA4)</f>
        <v>196</v>
      </c>
      <c r="E20">
        <f>SUM('2026_Formulas'!DU5:EA5)</f>
        <v>17</v>
      </c>
      <c r="F20" s="2">
        <f t="shared" si="0"/>
        <v>8.673469387755102E-2</v>
      </c>
      <c r="G20" s="1">
        <f>SUM('2026_Formulas'!DU6:EA6)</f>
        <v>1997.25</v>
      </c>
      <c r="H20" s="1">
        <f t="shared" si="1"/>
        <v>117.48529411764706</v>
      </c>
      <c r="I20">
        <f>SUM('2026_Formulas'!DU8:EA8)</f>
        <v>33</v>
      </c>
      <c r="J20" s="1">
        <f>SUM('2026_Formulas'!DU10:EA10)</f>
        <v>85.139999999999986</v>
      </c>
      <c r="K20" s="1">
        <f>SUM('2026_Formulas'!DU2:EA2)</f>
        <v>0</v>
      </c>
      <c r="L20" s="1">
        <f>SUM('2026_Formulas'!DU12:EA12)</f>
        <v>2082.39</v>
      </c>
    </row>
    <row r="21" spans="1:12" x14ac:dyDescent="0.3">
      <c r="A21" t="s">
        <v>409</v>
      </c>
      <c r="B21" s="4">
        <v>46153</v>
      </c>
      <c r="C21" s="4">
        <v>46159</v>
      </c>
      <c r="D21">
        <f>SUM('2026_Formulas'!EB4:EH4)</f>
        <v>196</v>
      </c>
      <c r="E21">
        <f>SUM('2026_Formulas'!EB5:EH5)</f>
        <v>73</v>
      </c>
      <c r="F21" s="2">
        <f t="shared" si="0"/>
        <v>0.37244897959183676</v>
      </c>
      <c r="G21" s="1">
        <f>SUM('2026_Formulas'!EB6:EH6)</f>
        <v>8019.59</v>
      </c>
      <c r="H21" s="1">
        <f t="shared" si="1"/>
        <v>109.85739726027397</v>
      </c>
      <c r="I21">
        <f>SUM('2026_Formulas'!EB8:EH8)</f>
        <v>136</v>
      </c>
      <c r="J21" s="1">
        <f>SUM('2026_Formulas'!EB10:EH10)</f>
        <v>347.52</v>
      </c>
      <c r="K21" s="1">
        <f>SUM('2026_Formulas'!EB2:EH2)</f>
        <v>0</v>
      </c>
      <c r="L21" s="1">
        <f>SUM('2026_Formulas'!EB12:EH12)</f>
        <v>8367.11</v>
      </c>
    </row>
    <row r="22" spans="1:12" x14ac:dyDescent="0.3">
      <c r="A22" t="s">
        <v>410</v>
      </c>
      <c r="B22" s="4">
        <v>46160</v>
      </c>
      <c r="C22" s="4">
        <v>46166</v>
      </c>
      <c r="D22">
        <f>SUM('2026_Formulas'!EI4:EO4)</f>
        <v>196</v>
      </c>
      <c r="E22">
        <f>SUM('2026_Formulas'!EI5:EO5)</f>
        <v>40</v>
      </c>
      <c r="F22" s="2">
        <f t="shared" si="0"/>
        <v>0.20408163265306123</v>
      </c>
      <c r="G22" s="1">
        <f>SUM('2026_Formulas'!EI6:EO6)</f>
        <v>5035.55</v>
      </c>
      <c r="H22" s="1">
        <f t="shared" si="1"/>
        <v>125.88875</v>
      </c>
      <c r="I22">
        <f>SUM('2026_Formulas'!EI8:EO8)</f>
        <v>68</v>
      </c>
      <c r="J22" s="1">
        <f>SUM('2026_Formulas'!EI10:EO10)</f>
        <v>172.5</v>
      </c>
      <c r="K22" s="1">
        <f>SUM('2026_Formulas'!EI2:EO2)</f>
        <v>0</v>
      </c>
      <c r="L22" s="1">
        <f>SUM('2026_Formulas'!EI12:EO12)</f>
        <v>5208.05</v>
      </c>
    </row>
    <row r="23" spans="1:12" x14ac:dyDescent="0.3">
      <c r="A23" t="s">
        <v>411</v>
      </c>
      <c r="B23" s="4">
        <v>46167</v>
      </c>
      <c r="C23" s="4">
        <v>46173</v>
      </c>
      <c r="D23">
        <f>SUM('2026_Formulas'!EP4:EV4)</f>
        <v>196</v>
      </c>
      <c r="E23">
        <f>SUM('2026_Formulas'!EP5:EV5)</f>
        <v>15</v>
      </c>
      <c r="F23" s="2">
        <f t="shared" si="0"/>
        <v>7.6530612244897961E-2</v>
      </c>
      <c r="G23" s="1">
        <f>SUM('2026_Formulas'!EP6:EV6)</f>
        <v>1930.09</v>
      </c>
      <c r="H23" s="1">
        <f t="shared" si="1"/>
        <v>128.67266666666666</v>
      </c>
      <c r="I23">
        <f>SUM('2026_Formulas'!EP8:EV8)</f>
        <v>27</v>
      </c>
      <c r="J23" s="1">
        <f>SUM('2026_Formulas'!EP10:EV10)</f>
        <v>68.959999999999994</v>
      </c>
      <c r="K23" s="1">
        <f>SUM('2026_Formulas'!EP2:EV2)</f>
        <v>0</v>
      </c>
      <c r="L23" s="1">
        <f>SUM('2026_Formulas'!EP12:EV12)</f>
        <v>1999.05</v>
      </c>
    </row>
    <row r="24" spans="1:12" x14ac:dyDescent="0.3">
      <c r="A24" t="s">
        <v>412</v>
      </c>
      <c r="B24" s="4">
        <v>46174</v>
      </c>
      <c r="C24" s="4">
        <v>46180</v>
      </c>
      <c r="D24">
        <f>SUM('2026_Formulas'!EW4:FC4)</f>
        <v>196</v>
      </c>
      <c r="E24">
        <f>SUM('2026_Formulas'!EW5:FC5)</f>
        <v>41</v>
      </c>
      <c r="F24" s="2">
        <f t="shared" si="0"/>
        <v>0.20918367346938777</v>
      </c>
      <c r="G24" s="1">
        <f>SUM('2026_Formulas'!EW6:FC6)</f>
        <v>4349</v>
      </c>
      <c r="H24" s="1">
        <f t="shared" si="1"/>
        <v>106.07317073170732</v>
      </c>
      <c r="I24">
        <f>SUM('2026_Formulas'!EW8:FC8)</f>
        <v>81</v>
      </c>
      <c r="J24" s="1">
        <f>SUM('2026_Formulas'!EW10:FC10)</f>
        <v>204.85</v>
      </c>
      <c r="K24" s="1">
        <f>SUM('2026_Formulas'!EW2:FC2)</f>
        <v>0</v>
      </c>
      <c r="L24" s="1">
        <f>SUM('2026_Formulas'!EW12:FC12)</f>
        <v>4553.8500000000004</v>
      </c>
    </row>
    <row r="25" spans="1:12" x14ac:dyDescent="0.3">
      <c r="A25" t="s">
        <v>413</v>
      </c>
      <c r="B25" s="4">
        <v>46181</v>
      </c>
      <c r="C25" s="4">
        <v>46187</v>
      </c>
      <c r="D25">
        <f>SUM('2026_Formulas'!FD4:FJ4)</f>
        <v>196</v>
      </c>
      <c r="E25">
        <f>SUM('2026_Formulas'!FD5:FJ5)</f>
        <v>18</v>
      </c>
      <c r="F25" s="2">
        <f t="shared" si="0"/>
        <v>9.1836734693877556E-2</v>
      </c>
      <c r="G25" s="1">
        <f>SUM('2026_Formulas'!FD6:FJ6)</f>
        <v>1961.1999999999998</v>
      </c>
      <c r="H25" s="1">
        <f t="shared" si="1"/>
        <v>108.95555555555555</v>
      </c>
      <c r="I25">
        <f>SUM('2026_Formulas'!FD8:FJ8)</f>
        <v>32</v>
      </c>
      <c r="J25" s="1">
        <f>SUM('2026_Formulas'!FD10:FJ10)</f>
        <v>81.72</v>
      </c>
      <c r="K25" s="1">
        <f>SUM('2026_Formulas'!FD2:FJ2)</f>
        <v>0</v>
      </c>
      <c r="L25" s="1">
        <f>SUM('2026_Formulas'!FD12:FJ12)</f>
        <v>2042.9199999999998</v>
      </c>
    </row>
    <row r="26" spans="1:12" x14ac:dyDescent="0.3">
      <c r="A26" t="s">
        <v>414</v>
      </c>
      <c r="B26" s="4">
        <v>46188</v>
      </c>
      <c r="C26" s="4">
        <v>46194</v>
      </c>
      <c r="D26">
        <f>SUM('2026_Formulas'!FK4:FQ4)</f>
        <v>196</v>
      </c>
      <c r="E26">
        <f>SUM('2026_Formulas'!FK5:FQ5)</f>
        <v>24</v>
      </c>
      <c r="F26" s="2">
        <f t="shared" si="0"/>
        <v>0.12244897959183673</v>
      </c>
      <c r="G26" s="1">
        <f>SUM('2026_Formulas'!FK6:FQ6)</f>
        <v>3034</v>
      </c>
      <c r="H26" s="1">
        <f t="shared" si="1"/>
        <v>126.41666666666667</v>
      </c>
      <c r="I26">
        <f>SUM('2026_Formulas'!FK8:FQ8)</f>
        <v>47</v>
      </c>
      <c r="J26" s="1">
        <f>SUM('2026_Formulas'!FK10:FQ10)</f>
        <v>119.44</v>
      </c>
      <c r="K26" s="1">
        <f>SUM('2026_Formulas'!FK2:FQ2)</f>
        <v>0</v>
      </c>
      <c r="L26" s="1">
        <f>SUM('2026_Formulas'!FK12:FQ12)</f>
        <v>3153.44</v>
      </c>
    </row>
    <row r="27" spans="1:12" x14ac:dyDescent="0.3">
      <c r="A27" t="s">
        <v>415</v>
      </c>
      <c r="B27" s="4">
        <v>46195</v>
      </c>
      <c r="C27" s="4">
        <v>46201</v>
      </c>
      <c r="D27">
        <f>SUM('2026_Formulas'!FR4:FX4)</f>
        <v>196</v>
      </c>
      <c r="E27">
        <f>SUM('2026_Formulas'!FR5:FX5)</f>
        <v>32</v>
      </c>
      <c r="F27" s="2">
        <f t="shared" si="0"/>
        <v>0.16326530612244897</v>
      </c>
      <c r="G27" s="1">
        <f>SUM('2026_Formulas'!FR6:FX6)</f>
        <v>3874.42</v>
      </c>
      <c r="H27" s="1">
        <f t="shared" si="1"/>
        <v>121.075625</v>
      </c>
      <c r="I27">
        <f>SUM('2026_Formulas'!FR8:FX8)</f>
        <v>61</v>
      </c>
      <c r="J27" s="1">
        <f>SUM('2026_Formulas'!FR10:FX10)</f>
        <v>155.41999999999999</v>
      </c>
      <c r="K27" s="1">
        <f>SUM('2026_Formulas'!FR2:FX2)</f>
        <v>0</v>
      </c>
      <c r="L27" s="1">
        <f>SUM('2026_Formulas'!FR12:FX12)</f>
        <v>4029.8400000000006</v>
      </c>
    </row>
    <row r="28" spans="1:12" x14ac:dyDescent="0.3">
      <c r="A28" t="s">
        <v>416</v>
      </c>
      <c r="B28" s="4">
        <v>46202</v>
      </c>
      <c r="C28" s="4">
        <v>46208</v>
      </c>
      <c r="D28">
        <f>SUM('2026_Formulas'!FY4:GE4)</f>
        <v>206</v>
      </c>
      <c r="E28">
        <f>SUM('2026_Formulas'!FY5:GE5)</f>
        <v>29</v>
      </c>
      <c r="F28" s="2">
        <f t="shared" si="0"/>
        <v>0.14077669902912621</v>
      </c>
      <c r="G28" s="1">
        <f>SUM('2026_Formulas'!FY6:GE6)</f>
        <v>3144.4900000000002</v>
      </c>
      <c r="H28" s="1">
        <f t="shared" si="1"/>
        <v>108.43068965517242</v>
      </c>
      <c r="I28">
        <f>SUM('2026_Formulas'!FY8:GE8)</f>
        <v>44</v>
      </c>
      <c r="J28" s="1">
        <f>SUM('2026_Formulas'!FY10:GE10)</f>
        <v>111.83999999999999</v>
      </c>
      <c r="K28" s="1">
        <f>SUM('2026_Formulas'!FY2:GE2)</f>
        <v>0</v>
      </c>
      <c r="L28" s="1">
        <f>SUM('2026_Formulas'!FY12:GE12)</f>
        <v>3256.33</v>
      </c>
    </row>
    <row r="29" spans="1:12" x14ac:dyDescent="0.3">
      <c r="A29" t="s">
        <v>417</v>
      </c>
      <c r="B29" s="4">
        <v>46209</v>
      </c>
      <c r="C29" s="4">
        <v>46215</v>
      </c>
      <c r="D29">
        <f>SUM('2026_Formulas'!GF4:GL4)</f>
        <v>210</v>
      </c>
      <c r="E29">
        <f>SUM('2026_Formulas'!GF5:GL5)</f>
        <v>11</v>
      </c>
      <c r="F29" s="2">
        <f t="shared" si="0"/>
        <v>5.2380952380952382E-2</v>
      </c>
      <c r="G29" s="1">
        <f>SUM('2026_Formulas'!GF6:GL6)</f>
        <v>1176.75</v>
      </c>
      <c r="H29" s="1">
        <f t="shared" si="1"/>
        <v>106.97727272727273</v>
      </c>
      <c r="I29">
        <f>SUM('2026_Formulas'!GF8:GL8)</f>
        <v>20</v>
      </c>
      <c r="J29" s="1">
        <f>SUM('2026_Formulas'!GF10:GL10)</f>
        <v>50.55</v>
      </c>
      <c r="K29" s="1">
        <f>SUM('2026_Formulas'!GF2:GL2)</f>
        <v>0</v>
      </c>
      <c r="L29" s="1">
        <f>SUM('2026_Formulas'!GF12:GL12)</f>
        <v>1227.3</v>
      </c>
    </row>
    <row r="30" spans="1:12" x14ac:dyDescent="0.3">
      <c r="A30" t="s">
        <v>418</v>
      </c>
      <c r="B30" s="4">
        <v>46216</v>
      </c>
      <c r="C30" s="4">
        <v>46222</v>
      </c>
      <c r="D30">
        <f>SUM('2026_Formulas'!GM4:GS4)</f>
        <v>210</v>
      </c>
      <c r="E30">
        <f>SUM('2026_Formulas'!GM5:GS5)</f>
        <v>11</v>
      </c>
      <c r="F30" s="2">
        <f t="shared" si="0"/>
        <v>5.2380952380952382E-2</v>
      </c>
      <c r="G30" s="1">
        <f>SUM('2026_Formulas'!GM6:GS6)</f>
        <v>1468.65</v>
      </c>
      <c r="H30" s="1">
        <f t="shared" si="1"/>
        <v>133.51363636363638</v>
      </c>
      <c r="I30">
        <f>SUM('2026_Formulas'!GM8:GS8)</f>
        <v>22</v>
      </c>
      <c r="J30" s="1">
        <f>SUM('2026_Formulas'!GM10:GS10)</f>
        <v>55.92</v>
      </c>
      <c r="K30" s="1">
        <f>SUM('2026_Formulas'!GM2:GS2)</f>
        <v>0</v>
      </c>
      <c r="L30" s="1">
        <f>SUM('2026_Formulas'!GM12:GS12)</f>
        <v>1524.5700000000002</v>
      </c>
    </row>
    <row r="31" spans="1:12" x14ac:dyDescent="0.3">
      <c r="A31" t="s">
        <v>419</v>
      </c>
      <c r="B31" s="4">
        <v>46223</v>
      </c>
      <c r="C31" s="4">
        <v>46229</v>
      </c>
      <c r="D31">
        <f>SUM('2026_Formulas'!GT4:GZ4)</f>
        <v>210</v>
      </c>
      <c r="E31">
        <f>SUM('2026_Formulas'!GT5:GZ5)</f>
        <v>16</v>
      </c>
      <c r="F31" s="2">
        <f t="shared" si="0"/>
        <v>7.6190476190476197E-2</v>
      </c>
      <c r="G31" s="1">
        <f>SUM('2026_Formulas'!GT6:GZ6)</f>
        <v>1736.79</v>
      </c>
      <c r="H31" s="1">
        <f t="shared" si="1"/>
        <v>108.549375</v>
      </c>
      <c r="I31">
        <f>SUM('2026_Formulas'!GT8:GZ8)</f>
        <v>31</v>
      </c>
      <c r="J31" s="1">
        <f>SUM('2026_Formulas'!GT10:GZ10)</f>
        <v>79.070000000000007</v>
      </c>
      <c r="K31" s="1">
        <f>SUM('2026_Formulas'!GT2:GZ2)</f>
        <v>0</v>
      </c>
      <c r="L31" s="1">
        <f>SUM('2026_Formulas'!GT12:GZ12)</f>
        <v>1815.86</v>
      </c>
    </row>
    <row r="32" spans="1:12" x14ac:dyDescent="0.3">
      <c r="A32" t="s">
        <v>420</v>
      </c>
      <c r="B32" s="4">
        <v>46230</v>
      </c>
      <c r="C32" s="4">
        <v>46236</v>
      </c>
      <c r="D32">
        <f>SUM('2026_Formulas'!HA4:HG4)</f>
        <v>210</v>
      </c>
      <c r="E32">
        <f>SUM('2026_Formulas'!HA5:HG5)</f>
        <v>26</v>
      </c>
      <c r="F32" s="2">
        <f t="shared" si="0"/>
        <v>0.12380952380952381</v>
      </c>
      <c r="G32" s="1">
        <f>SUM('2026_Formulas'!HA6:HG6)</f>
        <v>3014.2400000000002</v>
      </c>
      <c r="H32" s="1">
        <f t="shared" si="1"/>
        <v>115.9323076923077</v>
      </c>
      <c r="I32">
        <f>SUM('2026_Formulas'!HA8:HG8)</f>
        <v>40</v>
      </c>
      <c r="J32" s="1">
        <f>SUM('2026_Formulas'!HA10:HG10)</f>
        <v>101.66</v>
      </c>
      <c r="K32" s="1">
        <f>SUM('2026_Formulas'!HA2:HG2)</f>
        <v>0</v>
      </c>
      <c r="L32" s="1">
        <f>SUM('2026_Formulas'!HA12:HG12)</f>
        <v>3115.9</v>
      </c>
    </row>
    <row r="33" spans="1:12" x14ac:dyDescent="0.3">
      <c r="A33" t="s">
        <v>421</v>
      </c>
      <c r="B33" s="4">
        <v>46237</v>
      </c>
      <c r="C33" s="4">
        <v>46243</v>
      </c>
      <c r="D33">
        <f>SUM('2026_Formulas'!HH4:HN4)</f>
        <v>210</v>
      </c>
      <c r="E33">
        <f>SUM('2026_Formulas'!HH5:HN5)</f>
        <v>9</v>
      </c>
      <c r="F33" s="2">
        <f t="shared" si="0"/>
        <v>4.2857142857142858E-2</v>
      </c>
      <c r="G33" s="1">
        <f>SUM('2026_Formulas'!HH6:HN6)</f>
        <v>1060.29</v>
      </c>
      <c r="H33" s="1">
        <f t="shared" si="1"/>
        <v>117.81</v>
      </c>
      <c r="I33">
        <f>SUM('2026_Formulas'!HH8:HN8)</f>
        <v>17</v>
      </c>
      <c r="J33" s="1">
        <f>SUM('2026_Formulas'!HH10:HN10)</f>
        <v>43.86</v>
      </c>
      <c r="K33" s="1">
        <f>SUM('2026_Formulas'!HH2:HN2)</f>
        <v>0</v>
      </c>
      <c r="L33" s="1">
        <f>SUM('2026_Formulas'!HH12:HN12)</f>
        <v>1104.1500000000001</v>
      </c>
    </row>
    <row r="34" spans="1:12" x14ac:dyDescent="0.3">
      <c r="A34" t="s">
        <v>422</v>
      </c>
      <c r="B34" s="4">
        <v>46244</v>
      </c>
      <c r="C34" s="4">
        <v>46250</v>
      </c>
      <c r="D34">
        <f>SUM('2026_Formulas'!HO4:HU4)</f>
        <v>210</v>
      </c>
      <c r="E34">
        <f>SUM('2026_Formulas'!HO5:HU5)</f>
        <v>22</v>
      </c>
      <c r="F34" s="2">
        <f t="shared" ref="F34:F54" si="2">IFERROR(E34/D34,0)</f>
        <v>0.10476190476190476</v>
      </c>
      <c r="G34" s="1">
        <f>SUM('2026_Formulas'!HO6:HU6)</f>
        <v>2582.65</v>
      </c>
      <c r="H34" s="1">
        <f t="shared" ref="H34:H54" si="3">IFERROR(G34/E34,0)</f>
        <v>117.39318181818182</v>
      </c>
      <c r="I34">
        <f>SUM('2026_Formulas'!HO8:HU8)</f>
        <v>42</v>
      </c>
      <c r="J34" s="1">
        <f>SUM('2026_Formulas'!HO10:HU10)</f>
        <v>106.26</v>
      </c>
      <c r="K34" s="1">
        <f>SUM('2026_Formulas'!HO2:HU2)</f>
        <v>0</v>
      </c>
      <c r="L34" s="1">
        <f>SUM('2026_Formulas'!HO12:HU12)</f>
        <v>2688.91</v>
      </c>
    </row>
    <row r="35" spans="1:12" x14ac:dyDescent="0.3">
      <c r="A35" t="s">
        <v>423</v>
      </c>
      <c r="B35" s="4">
        <v>46251</v>
      </c>
      <c r="C35" s="4">
        <v>46257</v>
      </c>
      <c r="D35">
        <f>SUM('2026_Formulas'!HV4:IB4)</f>
        <v>210</v>
      </c>
      <c r="E35">
        <f>SUM('2026_Formulas'!HV5:IB5)</f>
        <v>57</v>
      </c>
      <c r="F35" s="2">
        <f t="shared" si="2"/>
        <v>0.27142857142857141</v>
      </c>
      <c r="G35" s="1">
        <f>SUM('2026_Formulas'!HV6:IB6)</f>
        <v>7281.03</v>
      </c>
      <c r="H35" s="1">
        <f t="shared" si="3"/>
        <v>127.73736842105262</v>
      </c>
      <c r="I35">
        <f>SUM('2026_Formulas'!HV8:IB8)</f>
        <v>99</v>
      </c>
      <c r="J35" s="1">
        <f>SUM('2026_Formulas'!HV10:IB10)</f>
        <v>248.98</v>
      </c>
      <c r="K35" s="1">
        <f>SUM('2026_Formulas'!HV2:IB2)</f>
        <v>0</v>
      </c>
      <c r="L35" s="1">
        <f>SUM('2026_Formulas'!HV12:IB12)</f>
        <v>7530.0099999999993</v>
      </c>
    </row>
    <row r="36" spans="1:12" x14ac:dyDescent="0.3">
      <c r="A36" t="s">
        <v>424</v>
      </c>
      <c r="B36" s="4">
        <v>46258</v>
      </c>
      <c r="C36" s="4">
        <v>46264</v>
      </c>
      <c r="D36">
        <f>SUM('2026_Formulas'!IC4:II4)</f>
        <v>210</v>
      </c>
      <c r="E36">
        <f>SUM('2026_Formulas'!IC5:II5)</f>
        <v>1</v>
      </c>
      <c r="F36" s="2">
        <f t="shared" si="2"/>
        <v>4.7619047619047623E-3</v>
      </c>
      <c r="G36" s="1">
        <f>SUM('2026_Formulas'!IC6:II6)</f>
        <v>130.9</v>
      </c>
      <c r="H36" s="1">
        <f t="shared" si="3"/>
        <v>130.9</v>
      </c>
      <c r="I36">
        <f>SUM('2026_Formulas'!IC8:II8)</f>
        <v>2</v>
      </c>
      <c r="J36" s="1">
        <f>SUM('2026_Formulas'!IC10:II10)</f>
        <v>5.16</v>
      </c>
      <c r="K36" s="1">
        <f>SUM('2026_Formulas'!IC2:II2)</f>
        <v>0</v>
      </c>
      <c r="L36" s="1">
        <f>SUM('2026_Formulas'!IC12:II12)</f>
        <v>136.06</v>
      </c>
    </row>
    <row r="37" spans="1:12" x14ac:dyDescent="0.3">
      <c r="A37" t="s">
        <v>425</v>
      </c>
      <c r="B37" s="4">
        <v>46265</v>
      </c>
      <c r="C37" s="4">
        <v>46271</v>
      </c>
      <c r="D37">
        <f>SUM('2026_Formulas'!IJ4:IP4)</f>
        <v>210</v>
      </c>
      <c r="E37">
        <f>SUM('2026_Formulas'!IJ5:IP5)</f>
        <v>13</v>
      </c>
      <c r="F37" s="2">
        <f t="shared" si="2"/>
        <v>6.1904761904761907E-2</v>
      </c>
      <c r="G37" s="1">
        <f>SUM('2026_Formulas'!IJ6:IP6)</f>
        <v>1402.83</v>
      </c>
      <c r="H37" s="1">
        <f t="shared" si="3"/>
        <v>107.91</v>
      </c>
      <c r="I37">
        <f>SUM('2026_Formulas'!IJ8:IP8)</f>
        <v>24</v>
      </c>
      <c r="J37" s="1">
        <f>SUM('2026_Formulas'!IJ10:IP10)</f>
        <v>60.8</v>
      </c>
      <c r="K37" s="1">
        <f>SUM('2026_Formulas'!IJ2:IP2)</f>
        <v>0</v>
      </c>
      <c r="L37" s="1">
        <f>SUM('2026_Formulas'!IJ12:IP12)</f>
        <v>1463.6299999999999</v>
      </c>
    </row>
    <row r="38" spans="1:12" x14ac:dyDescent="0.3">
      <c r="A38" t="s">
        <v>426</v>
      </c>
      <c r="B38" s="4">
        <v>46272</v>
      </c>
      <c r="C38" s="4">
        <v>46278</v>
      </c>
      <c r="D38">
        <f>SUM('2026_Formulas'!IQ4:IW4)</f>
        <v>210</v>
      </c>
      <c r="E38">
        <f>SUM('2026_Formulas'!IQ5:IW5)</f>
        <v>0</v>
      </c>
      <c r="F38" s="2">
        <f t="shared" si="2"/>
        <v>0</v>
      </c>
      <c r="G38" s="1">
        <f>SUM('2026_Formulas'!IQ6:IW6)</f>
        <v>0</v>
      </c>
      <c r="H38" s="1">
        <f t="shared" si="3"/>
        <v>0</v>
      </c>
      <c r="I38">
        <f>SUM('2026_Formulas'!IQ8:IW8)</f>
        <v>0</v>
      </c>
      <c r="J38" s="1">
        <f>SUM('2026_Formulas'!IQ10:IW10)</f>
        <v>0</v>
      </c>
      <c r="K38" s="1">
        <f>SUM('2026_Formulas'!IQ2:IW2)</f>
        <v>0</v>
      </c>
      <c r="L38" s="1">
        <f>SUM('2026_Formulas'!IQ12:IW12)</f>
        <v>0</v>
      </c>
    </row>
    <row r="39" spans="1:12" x14ac:dyDescent="0.3">
      <c r="A39" t="s">
        <v>427</v>
      </c>
      <c r="B39" s="4">
        <v>46279</v>
      </c>
      <c r="C39" s="4">
        <v>46285</v>
      </c>
      <c r="D39">
        <f>SUM('2026_Formulas'!IX4:JD4)</f>
        <v>210</v>
      </c>
      <c r="E39">
        <f>SUM('2026_Formulas'!IX5:JD5)</f>
        <v>0</v>
      </c>
      <c r="F39" s="2">
        <f t="shared" si="2"/>
        <v>0</v>
      </c>
      <c r="G39" s="1">
        <f>SUM('2026_Formulas'!IX6:JD6)</f>
        <v>0</v>
      </c>
      <c r="H39" s="1">
        <f t="shared" si="3"/>
        <v>0</v>
      </c>
      <c r="I39">
        <f>SUM('2026_Formulas'!IX8:JD8)</f>
        <v>0</v>
      </c>
      <c r="J39" s="1">
        <f>SUM('2026_Formulas'!IX10:JD10)</f>
        <v>0</v>
      </c>
      <c r="K39" s="1">
        <f>SUM('2026_Formulas'!IX2:JD2)</f>
        <v>0</v>
      </c>
      <c r="L39" s="1">
        <f>SUM('2026_Formulas'!IX12:JD12)</f>
        <v>0</v>
      </c>
    </row>
    <row r="40" spans="1:12" x14ac:dyDescent="0.3">
      <c r="A40" t="s">
        <v>428</v>
      </c>
      <c r="B40" s="4">
        <v>46286</v>
      </c>
      <c r="C40" s="4">
        <v>46292</v>
      </c>
      <c r="D40">
        <f>SUM('2026_Formulas'!JE4:JK4)</f>
        <v>210</v>
      </c>
      <c r="E40">
        <f>SUM('2026_Formulas'!JE5:JK5)</f>
        <v>0</v>
      </c>
      <c r="F40" s="2">
        <f t="shared" si="2"/>
        <v>0</v>
      </c>
      <c r="G40" s="1">
        <f>SUM('2026_Formulas'!JE6:JK6)</f>
        <v>0</v>
      </c>
      <c r="H40" s="1">
        <f t="shared" si="3"/>
        <v>0</v>
      </c>
      <c r="I40">
        <f>SUM('2026_Formulas'!JE8:JK8)</f>
        <v>0</v>
      </c>
      <c r="J40" s="1">
        <f>SUM('2026_Formulas'!JE10:JK10)</f>
        <v>0</v>
      </c>
      <c r="K40" s="1">
        <f>SUM('2026_Formulas'!JE2:JK2)</f>
        <v>0</v>
      </c>
      <c r="L40" s="1">
        <f>SUM('2026_Formulas'!JE12:JK12)</f>
        <v>0</v>
      </c>
    </row>
    <row r="41" spans="1:12" x14ac:dyDescent="0.3">
      <c r="A41" t="s">
        <v>429</v>
      </c>
      <c r="B41" s="4">
        <v>46293</v>
      </c>
      <c r="C41" s="4">
        <v>46299</v>
      </c>
      <c r="D41">
        <f>SUM('2026_Formulas'!JL4:JR4)</f>
        <v>210</v>
      </c>
      <c r="E41">
        <f>SUM('2026_Formulas'!JL5:JR5)</f>
        <v>2</v>
      </c>
      <c r="F41" s="2">
        <f t="shared" si="2"/>
        <v>9.5238095238095247E-3</v>
      </c>
      <c r="G41" s="1">
        <f>SUM('2026_Formulas'!JL6:JR6)</f>
        <v>176.22</v>
      </c>
      <c r="H41" s="1">
        <f t="shared" si="3"/>
        <v>88.11</v>
      </c>
      <c r="I41">
        <f>SUM('2026_Formulas'!JL8:JR8)</f>
        <v>4</v>
      </c>
      <c r="J41" s="1">
        <f>SUM('2026_Formulas'!JL10:JR10)</f>
        <v>10.18</v>
      </c>
      <c r="K41" s="1">
        <f>SUM('2026_Formulas'!JL2:JR2)</f>
        <v>0</v>
      </c>
      <c r="L41" s="1">
        <f>SUM('2026_Formulas'!JL12:JR12)</f>
        <v>186.4</v>
      </c>
    </row>
    <row r="42" spans="1:12" x14ac:dyDescent="0.3">
      <c r="A42" t="s">
        <v>430</v>
      </c>
      <c r="B42" s="4">
        <v>46300</v>
      </c>
      <c r="C42" s="4">
        <v>46306</v>
      </c>
      <c r="D42">
        <f>SUM('2026_Formulas'!JS4:JY4)</f>
        <v>210</v>
      </c>
      <c r="E42">
        <f>SUM('2026_Formulas'!JS5:JY5)</f>
        <v>0</v>
      </c>
      <c r="F42" s="2">
        <f t="shared" si="2"/>
        <v>0</v>
      </c>
      <c r="G42" s="1">
        <f>SUM('2026_Formulas'!JS6:JY6)</f>
        <v>0</v>
      </c>
      <c r="H42" s="1">
        <f t="shared" si="3"/>
        <v>0</v>
      </c>
      <c r="I42">
        <f>SUM('2026_Formulas'!JS8:JY8)</f>
        <v>0</v>
      </c>
      <c r="J42" s="1">
        <f>SUM('2026_Formulas'!JS10:JY10)</f>
        <v>0</v>
      </c>
      <c r="K42" s="1">
        <f>SUM('2026_Formulas'!JS2:JY2)</f>
        <v>0</v>
      </c>
      <c r="L42" s="1">
        <f>SUM('2026_Formulas'!JS12:JY12)</f>
        <v>0</v>
      </c>
    </row>
    <row r="43" spans="1:12" x14ac:dyDescent="0.3">
      <c r="A43" t="s">
        <v>431</v>
      </c>
      <c r="B43" s="4">
        <v>46307</v>
      </c>
      <c r="C43" s="4">
        <v>46313</v>
      </c>
      <c r="D43">
        <f>SUM('2026_Formulas'!JZ4:KF4)</f>
        <v>210</v>
      </c>
      <c r="E43">
        <f>SUM('2026_Formulas'!JZ5:KF5)</f>
        <v>2</v>
      </c>
      <c r="F43" s="2">
        <f t="shared" si="2"/>
        <v>9.5238095238095247E-3</v>
      </c>
      <c r="G43" s="1">
        <f>SUM('2026_Formulas'!JZ6:KF6)</f>
        <v>156.41999999999999</v>
      </c>
      <c r="H43" s="1">
        <f t="shared" si="3"/>
        <v>78.209999999999994</v>
      </c>
      <c r="I43">
        <f>SUM('2026_Formulas'!JZ8:KF8)</f>
        <v>2</v>
      </c>
      <c r="J43" s="1">
        <f>SUM('2026_Formulas'!JZ10:KF10)</f>
        <v>5.16</v>
      </c>
      <c r="K43" s="1">
        <f>SUM('2026_Formulas'!JZ2:KF2)</f>
        <v>0</v>
      </c>
      <c r="L43" s="1">
        <f>SUM('2026_Formulas'!JZ12:KF12)</f>
        <v>161.57999999999998</v>
      </c>
    </row>
    <row r="44" spans="1:12" x14ac:dyDescent="0.3">
      <c r="A44" t="s">
        <v>432</v>
      </c>
      <c r="B44" s="4">
        <v>46314</v>
      </c>
      <c r="C44" s="4">
        <v>46320</v>
      </c>
      <c r="D44">
        <f>SUM('2026_Formulas'!KG4:KM4)</f>
        <v>210</v>
      </c>
      <c r="E44">
        <f>SUM('2026_Formulas'!KG5:KM5)</f>
        <v>0</v>
      </c>
      <c r="F44" s="2">
        <f t="shared" si="2"/>
        <v>0</v>
      </c>
      <c r="G44" s="1">
        <f>SUM('2026_Formulas'!KG6:KM6)</f>
        <v>0</v>
      </c>
      <c r="H44" s="1">
        <f t="shared" si="3"/>
        <v>0</v>
      </c>
      <c r="I44">
        <f>SUM('2026_Formulas'!KG8:KM8)</f>
        <v>0</v>
      </c>
      <c r="J44" s="1">
        <f>SUM('2026_Formulas'!KG10:KM10)</f>
        <v>0</v>
      </c>
      <c r="K44" s="1">
        <f>SUM('2026_Formulas'!KG2:KM2)</f>
        <v>0</v>
      </c>
      <c r="L44" s="1">
        <f>SUM('2026_Formulas'!KG12:KM12)</f>
        <v>0</v>
      </c>
    </row>
    <row r="45" spans="1:12" x14ac:dyDescent="0.3">
      <c r="A45" t="s">
        <v>433</v>
      </c>
      <c r="B45" s="4">
        <v>46321</v>
      </c>
      <c r="C45" s="4">
        <v>46327</v>
      </c>
      <c r="D45">
        <f>SUM('2026_Formulas'!KN4:KT4)</f>
        <v>210</v>
      </c>
      <c r="E45">
        <f>SUM('2026_Formulas'!KN5:KT5)</f>
        <v>0</v>
      </c>
      <c r="F45" s="2">
        <f t="shared" si="2"/>
        <v>0</v>
      </c>
      <c r="G45" s="1">
        <f>SUM('2026_Formulas'!KN6:KT6)</f>
        <v>0</v>
      </c>
      <c r="H45" s="1">
        <f t="shared" si="3"/>
        <v>0</v>
      </c>
      <c r="I45">
        <f>SUM('2026_Formulas'!KN8:KT8)</f>
        <v>0</v>
      </c>
      <c r="J45" s="1">
        <f>SUM('2026_Formulas'!KN10:KT10)</f>
        <v>0</v>
      </c>
      <c r="K45" s="1">
        <f>SUM('2026_Formulas'!KN2:KT2)</f>
        <v>0</v>
      </c>
      <c r="L45" s="1">
        <f>SUM('2026_Formulas'!KN12:KT12)</f>
        <v>0</v>
      </c>
    </row>
    <row r="46" spans="1:12" x14ac:dyDescent="0.3">
      <c r="A46" t="s">
        <v>434</v>
      </c>
      <c r="B46" s="4">
        <v>46328</v>
      </c>
      <c r="C46" s="4">
        <v>46334</v>
      </c>
      <c r="D46">
        <f>SUM('2026_Formulas'!KU4:LA4)</f>
        <v>210</v>
      </c>
      <c r="E46">
        <f>SUM('2026_Formulas'!KU5:LA5)</f>
        <v>0</v>
      </c>
      <c r="F46" s="2">
        <f t="shared" si="2"/>
        <v>0</v>
      </c>
      <c r="G46" s="1">
        <f>SUM('2026_Formulas'!KU6:LA6)</f>
        <v>0</v>
      </c>
      <c r="H46" s="1">
        <f t="shared" si="3"/>
        <v>0</v>
      </c>
      <c r="I46">
        <f>SUM('2026_Formulas'!KU8:LA8)</f>
        <v>0</v>
      </c>
      <c r="J46" s="1">
        <f>SUM('2026_Formulas'!KU10:LA10)</f>
        <v>0</v>
      </c>
      <c r="K46" s="1">
        <f>SUM('2026_Formulas'!KU2:LA2)</f>
        <v>0</v>
      </c>
      <c r="L46" s="1">
        <f>SUM('2026_Formulas'!KU12:LA12)</f>
        <v>0</v>
      </c>
    </row>
    <row r="47" spans="1:12" x14ac:dyDescent="0.3">
      <c r="A47" t="s">
        <v>435</v>
      </c>
      <c r="B47" s="4">
        <v>46335</v>
      </c>
      <c r="C47" s="4">
        <v>46341</v>
      </c>
      <c r="D47">
        <f>SUM('2026_Formulas'!LB4:LH4)</f>
        <v>210</v>
      </c>
      <c r="E47">
        <f>SUM('2026_Formulas'!LB5:LH5)</f>
        <v>0</v>
      </c>
      <c r="F47" s="2">
        <f t="shared" si="2"/>
        <v>0</v>
      </c>
      <c r="G47" s="1">
        <f>SUM('2026_Formulas'!LB6:LH6)</f>
        <v>0</v>
      </c>
      <c r="H47" s="1">
        <f t="shared" si="3"/>
        <v>0</v>
      </c>
      <c r="I47">
        <f>SUM('2026_Formulas'!LB8:LH8)</f>
        <v>0</v>
      </c>
      <c r="J47" s="1">
        <f>SUM('2026_Formulas'!LB10:LH10)</f>
        <v>0</v>
      </c>
      <c r="K47" s="1">
        <f>SUM('2026_Formulas'!LB2:LH2)</f>
        <v>0</v>
      </c>
      <c r="L47" s="1">
        <f>SUM('2026_Formulas'!LB12:LH12)</f>
        <v>0</v>
      </c>
    </row>
    <row r="48" spans="1:12" x14ac:dyDescent="0.3">
      <c r="A48" t="s">
        <v>436</v>
      </c>
      <c r="B48" s="4">
        <v>46342</v>
      </c>
      <c r="C48" s="4">
        <v>46348</v>
      </c>
      <c r="D48">
        <f>SUM('2026_Formulas'!LI4:LO4)</f>
        <v>210</v>
      </c>
      <c r="E48">
        <f>SUM('2026_Formulas'!LI5:LO5)</f>
        <v>0</v>
      </c>
      <c r="F48" s="2">
        <f t="shared" si="2"/>
        <v>0</v>
      </c>
      <c r="G48" s="1">
        <f>SUM('2026_Formulas'!LI6:LO6)</f>
        <v>0</v>
      </c>
      <c r="H48" s="1">
        <f t="shared" si="3"/>
        <v>0</v>
      </c>
      <c r="I48">
        <f>SUM('2026_Formulas'!LI8:LO8)</f>
        <v>0</v>
      </c>
      <c r="J48" s="1">
        <f>SUM('2026_Formulas'!LI10:LO10)</f>
        <v>0</v>
      </c>
      <c r="K48" s="1">
        <f>SUM('2026_Formulas'!LI2:LO2)</f>
        <v>0</v>
      </c>
      <c r="L48" s="1">
        <f>SUM('2026_Formulas'!LI12:LO12)</f>
        <v>0</v>
      </c>
    </row>
    <row r="49" spans="1:12" x14ac:dyDescent="0.3">
      <c r="A49" t="s">
        <v>437</v>
      </c>
      <c r="B49" s="4">
        <v>46349</v>
      </c>
      <c r="C49" s="4">
        <v>46355</v>
      </c>
      <c r="D49">
        <f>SUM('2026_Formulas'!LP4:LV4)</f>
        <v>210</v>
      </c>
      <c r="E49">
        <f>SUM('2026_Formulas'!LP5:LV5)</f>
        <v>0</v>
      </c>
      <c r="F49" s="2">
        <f t="shared" si="2"/>
        <v>0</v>
      </c>
      <c r="G49" s="1">
        <f>SUM('2026_Formulas'!LP6:LV6)</f>
        <v>0</v>
      </c>
      <c r="H49" s="1">
        <f t="shared" si="3"/>
        <v>0</v>
      </c>
      <c r="I49">
        <f>SUM('2026_Formulas'!LP8:LV8)</f>
        <v>0</v>
      </c>
      <c r="J49" s="1">
        <f>SUM('2026_Formulas'!LP10:LV10)</f>
        <v>0</v>
      </c>
      <c r="K49" s="1">
        <f>SUM('2026_Formulas'!LP2:LV2)</f>
        <v>0</v>
      </c>
      <c r="L49" s="1">
        <f>SUM('2026_Formulas'!LP12:LV12)</f>
        <v>0</v>
      </c>
    </row>
    <row r="50" spans="1:12" x14ac:dyDescent="0.3">
      <c r="A50" t="s">
        <v>438</v>
      </c>
      <c r="B50" s="4">
        <v>46356</v>
      </c>
      <c r="C50" s="4">
        <v>46362</v>
      </c>
      <c r="D50">
        <f>SUM('2026_Formulas'!LW4:MC4)</f>
        <v>210</v>
      </c>
      <c r="E50">
        <f>SUM('2026_Formulas'!LW5:MC5)</f>
        <v>0</v>
      </c>
      <c r="F50" s="2">
        <f t="shared" si="2"/>
        <v>0</v>
      </c>
      <c r="G50" s="1">
        <f>SUM('2026_Formulas'!LW6:MC6)</f>
        <v>0</v>
      </c>
      <c r="H50" s="1">
        <f t="shared" si="3"/>
        <v>0</v>
      </c>
      <c r="I50">
        <f>SUM('2026_Formulas'!LW8:MC8)</f>
        <v>0</v>
      </c>
      <c r="J50" s="1">
        <f>SUM('2026_Formulas'!LW10:MC10)</f>
        <v>0</v>
      </c>
      <c r="K50" s="1">
        <f>SUM('2026_Formulas'!LW2:MC2)</f>
        <v>0</v>
      </c>
      <c r="L50" s="1">
        <f>SUM('2026_Formulas'!LW12:MC12)</f>
        <v>0</v>
      </c>
    </row>
    <row r="51" spans="1:12" x14ac:dyDescent="0.3">
      <c r="A51" t="s">
        <v>439</v>
      </c>
      <c r="B51" s="4">
        <v>46363</v>
      </c>
      <c r="C51" s="4">
        <v>46369</v>
      </c>
      <c r="D51">
        <f>SUM('2026_Formulas'!MD4:MJ4)</f>
        <v>210</v>
      </c>
      <c r="E51">
        <f>SUM('2026_Formulas'!MD5:MJ5)</f>
        <v>0</v>
      </c>
      <c r="F51" s="2">
        <f t="shared" si="2"/>
        <v>0</v>
      </c>
      <c r="G51" s="1">
        <f>SUM('2026_Formulas'!MD6:MJ6)</f>
        <v>0</v>
      </c>
      <c r="H51" s="1">
        <f t="shared" si="3"/>
        <v>0</v>
      </c>
      <c r="I51">
        <f>SUM('2026_Formulas'!MD8:MJ8)</f>
        <v>0</v>
      </c>
      <c r="J51" s="1">
        <f>SUM('2026_Formulas'!MD10:MJ10)</f>
        <v>0</v>
      </c>
      <c r="K51" s="1">
        <f>SUM('2026_Formulas'!MD2:MJ2)</f>
        <v>0</v>
      </c>
      <c r="L51" s="1">
        <f>SUM('2026_Formulas'!MD12:MJ12)</f>
        <v>0</v>
      </c>
    </row>
    <row r="52" spans="1:12" x14ac:dyDescent="0.3">
      <c r="A52" t="s">
        <v>440</v>
      </c>
      <c r="B52" s="4">
        <v>46370</v>
      </c>
      <c r="C52" s="4">
        <v>46376</v>
      </c>
      <c r="D52">
        <f>SUM('2026_Formulas'!MK4:MQ4)</f>
        <v>210</v>
      </c>
      <c r="E52">
        <f>SUM('2026_Formulas'!MK5:MQ5)</f>
        <v>0</v>
      </c>
      <c r="F52" s="2">
        <f t="shared" si="2"/>
        <v>0</v>
      </c>
      <c r="G52" s="1">
        <f>SUM('2026_Formulas'!MK6:MQ6)</f>
        <v>0</v>
      </c>
      <c r="H52" s="1">
        <f t="shared" si="3"/>
        <v>0</v>
      </c>
      <c r="I52">
        <f>SUM('2026_Formulas'!MK8:MQ8)</f>
        <v>0</v>
      </c>
      <c r="J52" s="1">
        <f>SUM('2026_Formulas'!MK10:MQ10)</f>
        <v>0</v>
      </c>
      <c r="K52" s="1">
        <f>SUM('2026_Formulas'!MK2:MQ2)</f>
        <v>0</v>
      </c>
      <c r="L52" s="1">
        <f>SUM('2026_Formulas'!MK12:MQ12)</f>
        <v>0</v>
      </c>
    </row>
    <row r="53" spans="1:12" x14ac:dyDescent="0.3">
      <c r="A53" t="s">
        <v>441</v>
      </c>
      <c r="B53" s="4">
        <v>46377</v>
      </c>
      <c r="C53" s="4">
        <v>46383</v>
      </c>
      <c r="D53">
        <f>SUM('2026_Formulas'!MR4:MX4)</f>
        <v>210</v>
      </c>
      <c r="E53">
        <f>SUM('2026_Formulas'!MR5:MX5)</f>
        <v>0</v>
      </c>
      <c r="F53" s="2">
        <f t="shared" si="2"/>
        <v>0</v>
      </c>
      <c r="G53" s="1">
        <f>SUM('2026_Formulas'!MR6:MX6)</f>
        <v>0</v>
      </c>
      <c r="H53" s="1">
        <f t="shared" si="3"/>
        <v>0</v>
      </c>
      <c r="I53">
        <f>SUM('2026_Formulas'!MR8:MX8)</f>
        <v>0</v>
      </c>
      <c r="J53" s="1">
        <f>SUM('2026_Formulas'!MR10:MX10)</f>
        <v>0</v>
      </c>
      <c r="K53" s="1">
        <f>SUM('2026_Formulas'!MR2:MX2)</f>
        <v>0</v>
      </c>
      <c r="L53" s="1">
        <f>SUM('2026_Formulas'!MR12:MX12)</f>
        <v>0</v>
      </c>
    </row>
    <row r="54" spans="1:12" x14ac:dyDescent="0.3">
      <c r="A54" t="s">
        <v>442</v>
      </c>
      <c r="B54" s="4">
        <v>46384</v>
      </c>
      <c r="C54" s="4">
        <v>46387</v>
      </c>
      <c r="D54">
        <f>SUM('2026_Formulas'!MY4:NB4)</f>
        <v>120</v>
      </c>
      <c r="E54">
        <f>SUM('2026_Formulas'!MY5:NB5)</f>
        <v>0</v>
      </c>
      <c r="F54" s="2">
        <f t="shared" si="2"/>
        <v>0</v>
      </c>
      <c r="G54" s="1">
        <f>SUM('2026_Formulas'!MY6:NB6)</f>
        <v>0</v>
      </c>
      <c r="H54" s="1">
        <f t="shared" si="3"/>
        <v>0</v>
      </c>
      <c r="I54">
        <f>SUM('2026_Formulas'!MY8:NB8)</f>
        <v>0</v>
      </c>
      <c r="J54" s="1">
        <f>SUM('2026_Formulas'!MY10:NB10)</f>
        <v>0</v>
      </c>
      <c r="K54" s="1">
        <f>SUM('2026_Formulas'!MY2:NB2)</f>
        <v>0</v>
      </c>
      <c r="L54" s="1">
        <f>SUM('2026_Formulas'!MY12:NB12)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16" customWidth="1"/>
    <col min="6" max="6" width="12" customWidth="1"/>
    <col min="7" max="7" width="18" customWidth="1"/>
    <col min="8" max="8" width="12" customWidth="1"/>
    <col min="9" max="10" width="16" customWidth="1"/>
    <col min="11" max="11" width="12" customWidth="1"/>
    <col min="12" max="12" width="18" customWidth="1"/>
  </cols>
  <sheetData>
    <row r="1" spans="1:12" x14ac:dyDescent="0.3">
      <c r="A1" s="3" t="s">
        <v>443</v>
      </c>
      <c r="B1" s="3" t="s">
        <v>444</v>
      </c>
      <c r="C1" s="3" t="s">
        <v>445</v>
      </c>
      <c r="D1" s="3" t="s">
        <v>382</v>
      </c>
      <c r="E1" s="3" t="s">
        <v>383</v>
      </c>
      <c r="F1" s="3" t="s">
        <v>367</v>
      </c>
      <c r="G1" s="3" t="s">
        <v>384</v>
      </c>
      <c r="H1" s="3" t="s">
        <v>385</v>
      </c>
      <c r="I1" s="3" t="s">
        <v>386</v>
      </c>
      <c r="J1" s="3" t="s">
        <v>387</v>
      </c>
      <c r="K1" s="3" t="s">
        <v>388</v>
      </c>
      <c r="L1" s="3" t="s">
        <v>389</v>
      </c>
    </row>
    <row r="2" spans="1:12" x14ac:dyDescent="0.3">
      <c r="A2" t="s">
        <v>446</v>
      </c>
      <c r="B2" s="4">
        <v>46023</v>
      </c>
      <c r="C2" s="4">
        <v>46053</v>
      </c>
      <c r="D2">
        <f>SUM('2026_Formulas'!B4:AF4)</f>
        <v>837</v>
      </c>
      <c r="E2">
        <f>SUM('2026_Formulas'!B5:AF5)</f>
        <v>40</v>
      </c>
      <c r="F2" s="2">
        <f t="shared" ref="F2:F13" si="0">IFERROR(E2/D2,0)</f>
        <v>4.778972520908005E-2</v>
      </c>
      <c r="G2" s="1">
        <f>SUM('2026_Formulas'!B6:AF6)</f>
        <v>3326.6200000000008</v>
      </c>
      <c r="H2" s="1">
        <f t="shared" ref="H2:H13" si="1">IFERROR(G2/E2,0)</f>
        <v>83.165500000000023</v>
      </c>
      <c r="I2">
        <f>SUM('2026_Formulas'!B8:AF8)</f>
        <v>63</v>
      </c>
      <c r="J2" s="1">
        <f>SUM('2026_Formulas'!B10:AF10)</f>
        <v>150.94999999999999</v>
      </c>
      <c r="K2" s="1">
        <f>SUM('2026_Formulas'!B2:AF2)</f>
        <v>150</v>
      </c>
      <c r="L2" s="1">
        <f>SUM('2026_Formulas'!B12:AF12)</f>
        <v>3627.5699999999993</v>
      </c>
    </row>
    <row r="3" spans="1:12" x14ac:dyDescent="0.3">
      <c r="A3" t="s">
        <v>447</v>
      </c>
      <c r="B3" s="4">
        <v>46054</v>
      </c>
      <c r="C3" s="4">
        <v>46081</v>
      </c>
      <c r="D3">
        <f>SUM('2026_Formulas'!AG4:BH4)</f>
        <v>774</v>
      </c>
      <c r="E3">
        <f>SUM('2026_Formulas'!AG5:BH5)</f>
        <v>75</v>
      </c>
      <c r="F3" s="2">
        <f t="shared" si="0"/>
        <v>9.6899224806201556E-2</v>
      </c>
      <c r="G3" s="1">
        <f>SUM('2026_Formulas'!AG6:BH6)</f>
        <v>6258.2399999999989</v>
      </c>
      <c r="H3" s="1">
        <f t="shared" si="1"/>
        <v>83.44319999999999</v>
      </c>
      <c r="I3">
        <f>SUM('2026_Formulas'!AG8:BH8)</f>
        <v>118</v>
      </c>
      <c r="J3" s="1">
        <f>SUM('2026_Formulas'!AG10:BH10)</f>
        <v>299.1400000000001</v>
      </c>
      <c r="K3" s="1">
        <f>SUM('2026_Formulas'!AG2:BH2)</f>
        <v>675</v>
      </c>
      <c r="L3" s="1">
        <f>SUM('2026_Formulas'!AG12:BH12)</f>
        <v>7232.3800000000019</v>
      </c>
    </row>
    <row r="4" spans="1:12" x14ac:dyDescent="0.3">
      <c r="A4" t="s">
        <v>448</v>
      </c>
      <c r="B4" s="4">
        <v>46082</v>
      </c>
      <c r="C4" s="4">
        <v>46112</v>
      </c>
      <c r="D4">
        <f>SUM('2026_Formulas'!BI4:CM4)</f>
        <v>868</v>
      </c>
      <c r="E4">
        <f>SUM('2026_Formulas'!BI5:CM5)</f>
        <v>42</v>
      </c>
      <c r="F4" s="2">
        <f t="shared" si="0"/>
        <v>4.8387096774193547E-2</v>
      </c>
      <c r="G4" s="1">
        <f>SUM('2026_Formulas'!BI6:CM6)</f>
        <v>4004.6400000000008</v>
      </c>
      <c r="H4" s="1">
        <f t="shared" si="1"/>
        <v>95.348571428571447</v>
      </c>
      <c r="I4">
        <f>SUM('2026_Formulas'!BI8:CM8)</f>
        <v>72</v>
      </c>
      <c r="J4" s="1">
        <f>SUM('2026_Formulas'!BI10:CM10)</f>
        <v>185.75999999999996</v>
      </c>
      <c r="K4" s="1">
        <f>SUM('2026_Formulas'!BI2:CM2)</f>
        <v>0</v>
      </c>
      <c r="L4" s="1">
        <f>SUM('2026_Formulas'!BI12:CM12)</f>
        <v>4190.4000000000005</v>
      </c>
    </row>
    <row r="5" spans="1:12" x14ac:dyDescent="0.3">
      <c r="A5" t="s">
        <v>449</v>
      </c>
      <c r="B5" s="4">
        <v>46113</v>
      </c>
      <c r="C5" s="4">
        <v>46142</v>
      </c>
      <c r="D5">
        <f>SUM('2026_Formulas'!CN4:DQ4)</f>
        <v>840</v>
      </c>
      <c r="E5">
        <f>SUM('2026_Formulas'!CN5:DQ5)</f>
        <v>376</v>
      </c>
      <c r="F5" s="2">
        <f t="shared" si="0"/>
        <v>0.44761904761904764</v>
      </c>
      <c r="G5" s="1">
        <f>SUM('2026_Formulas'!CN6:DQ6)</f>
        <v>40121.139999999992</v>
      </c>
      <c r="H5" s="1">
        <f t="shared" si="1"/>
        <v>106.70515957446807</v>
      </c>
      <c r="I5">
        <f>SUM('2026_Formulas'!CN8:DQ8)</f>
        <v>622</v>
      </c>
      <c r="J5" s="1">
        <f>SUM('2026_Formulas'!CN10:DQ10)</f>
        <v>1601.34</v>
      </c>
      <c r="K5" s="1">
        <f>SUM('2026_Formulas'!CN2:DQ2)</f>
        <v>0</v>
      </c>
      <c r="L5" s="1">
        <f>SUM('2026_Formulas'!CN12:DQ12)</f>
        <v>41722.479999999989</v>
      </c>
    </row>
    <row r="6" spans="1:12" x14ac:dyDescent="0.3">
      <c r="A6" t="s">
        <v>450</v>
      </c>
      <c r="B6" s="4">
        <v>46143</v>
      </c>
      <c r="C6" s="4">
        <v>46173</v>
      </c>
      <c r="D6">
        <f>SUM('2026_Formulas'!DR4:EV4)</f>
        <v>868</v>
      </c>
      <c r="E6">
        <f>SUM('2026_Formulas'!DR5:EV5)</f>
        <v>195</v>
      </c>
      <c r="F6" s="2">
        <f t="shared" si="0"/>
        <v>0.22465437788018433</v>
      </c>
      <c r="G6" s="1">
        <f>SUM('2026_Formulas'!DR6:EV6)</f>
        <v>22715.759999999998</v>
      </c>
      <c r="H6" s="1">
        <f t="shared" si="1"/>
        <v>116.49107692307692</v>
      </c>
      <c r="I6">
        <f>SUM('2026_Formulas'!DR8:EV8)</f>
        <v>357</v>
      </c>
      <c r="J6" s="1">
        <f>SUM('2026_Formulas'!DR10:EV10)</f>
        <v>913.92000000000007</v>
      </c>
      <c r="K6" s="1">
        <f>SUM('2026_Formulas'!DR2:EV2)</f>
        <v>0</v>
      </c>
      <c r="L6" s="1">
        <f>SUM('2026_Formulas'!DR12:EV12)</f>
        <v>23629.679999999997</v>
      </c>
    </row>
    <row r="7" spans="1:12" x14ac:dyDescent="0.3">
      <c r="A7" t="s">
        <v>451</v>
      </c>
      <c r="B7" s="4">
        <v>46174</v>
      </c>
      <c r="C7" s="4">
        <v>46203</v>
      </c>
      <c r="D7">
        <f>SUM('2026_Formulas'!EW4:FZ4)</f>
        <v>840</v>
      </c>
      <c r="E7">
        <f>SUM('2026_Formulas'!EW5:FZ5)</f>
        <v>119</v>
      </c>
      <c r="F7" s="2">
        <f t="shared" si="0"/>
        <v>0.14166666666666666</v>
      </c>
      <c r="G7" s="1">
        <f>SUM('2026_Formulas'!EW6:FZ6)</f>
        <v>13592.34</v>
      </c>
      <c r="H7" s="1">
        <f t="shared" si="1"/>
        <v>114.22134453781513</v>
      </c>
      <c r="I7">
        <f>SUM('2026_Formulas'!EW8:FZ8)</f>
        <v>225</v>
      </c>
      <c r="J7" s="1">
        <f>SUM('2026_Formulas'!EW10:FZ10)</f>
        <v>571.61</v>
      </c>
      <c r="K7" s="1">
        <f>SUM('2026_Formulas'!EW2:FZ2)</f>
        <v>0</v>
      </c>
      <c r="L7" s="1">
        <f>SUM('2026_Formulas'!EW12:FZ12)</f>
        <v>14163.950000000003</v>
      </c>
    </row>
    <row r="8" spans="1:12" x14ac:dyDescent="0.3">
      <c r="A8" t="s">
        <v>452</v>
      </c>
      <c r="B8" s="4">
        <v>46204</v>
      </c>
      <c r="C8" s="4">
        <v>46234</v>
      </c>
      <c r="D8">
        <f>SUM('2026_Formulas'!GA4:HE4)</f>
        <v>930</v>
      </c>
      <c r="E8">
        <f>SUM('2026_Formulas'!GA5:HE5)</f>
        <v>79</v>
      </c>
      <c r="F8" s="2">
        <f t="shared" si="0"/>
        <v>8.4946236559139784E-2</v>
      </c>
      <c r="G8" s="1">
        <f>SUM('2026_Formulas'!GA6:HE6)</f>
        <v>8998.9500000000007</v>
      </c>
      <c r="H8" s="1">
        <f t="shared" si="1"/>
        <v>113.91075949367089</v>
      </c>
      <c r="I8">
        <f>SUM('2026_Formulas'!GA8:HE8)</f>
        <v>137</v>
      </c>
      <c r="J8" s="1">
        <f>SUM('2026_Formulas'!GA10:HE10)</f>
        <v>348.28000000000009</v>
      </c>
      <c r="K8" s="1">
        <f>SUM('2026_Formulas'!GA2:HE2)</f>
        <v>0</v>
      </c>
      <c r="L8" s="1">
        <f>SUM('2026_Formulas'!GA12:HE12)</f>
        <v>9347.2299999999977</v>
      </c>
    </row>
    <row r="9" spans="1:12" x14ac:dyDescent="0.3">
      <c r="A9" t="s">
        <v>453</v>
      </c>
      <c r="B9" s="4">
        <v>46235</v>
      </c>
      <c r="C9" s="4">
        <v>46265</v>
      </c>
      <c r="D9">
        <f>SUM('2026_Formulas'!HF4:IJ4)</f>
        <v>930</v>
      </c>
      <c r="E9">
        <f>SUM('2026_Formulas'!HF5:IJ5)</f>
        <v>99</v>
      </c>
      <c r="F9" s="2">
        <f t="shared" si="0"/>
        <v>0.1064516129032258</v>
      </c>
      <c r="G9" s="1">
        <f>SUM('2026_Formulas'!HF6:IJ6)</f>
        <v>12223.12</v>
      </c>
      <c r="H9" s="1">
        <f t="shared" si="1"/>
        <v>123.4658585858586</v>
      </c>
      <c r="I9">
        <f>SUM('2026_Formulas'!HF8:IJ8)</f>
        <v>176</v>
      </c>
      <c r="J9" s="1">
        <f>SUM('2026_Formulas'!HF10:IJ10)</f>
        <v>444.84</v>
      </c>
      <c r="K9" s="1">
        <f>SUM('2026_Formulas'!HF2:IJ2)</f>
        <v>0</v>
      </c>
      <c r="L9" s="1">
        <f>SUM('2026_Formulas'!HF12:IJ12)</f>
        <v>12667.96</v>
      </c>
    </row>
    <row r="10" spans="1:12" x14ac:dyDescent="0.3">
      <c r="A10" t="s">
        <v>454</v>
      </c>
      <c r="B10" s="4">
        <v>46266</v>
      </c>
      <c r="C10" s="4">
        <v>46295</v>
      </c>
      <c r="D10">
        <f>SUM('2026_Formulas'!IK4:JN4)</f>
        <v>900</v>
      </c>
      <c r="E10">
        <f>SUM('2026_Formulas'!IK5:JN5)</f>
        <v>13</v>
      </c>
      <c r="F10" s="2">
        <f t="shared" si="0"/>
        <v>1.4444444444444444E-2</v>
      </c>
      <c r="G10" s="1">
        <f>SUM('2026_Formulas'!IK6:JN6)</f>
        <v>1402.83</v>
      </c>
      <c r="H10" s="1">
        <f t="shared" si="1"/>
        <v>107.91</v>
      </c>
      <c r="I10">
        <f>SUM('2026_Formulas'!IK8:JN8)</f>
        <v>24</v>
      </c>
      <c r="J10" s="1">
        <f>SUM('2026_Formulas'!IK10:JN10)</f>
        <v>60.8</v>
      </c>
      <c r="K10" s="1">
        <f>SUM('2026_Formulas'!IK2:JN2)</f>
        <v>0</v>
      </c>
      <c r="L10" s="1">
        <f>SUM('2026_Formulas'!IK12:JN12)</f>
        <v>1463.6299999999999</v>
      </c>
    </row>
    <row r="11" spans="1:12" x14ac:dyDescent="0.3">
      <c r="A11" t="s">
        <v>455</v>
      </c>
      <c r="B11" s="4">
        <v>46296</v>
      </c>
      <c r="C11" s="4">
        <v>46326</v>
      </c>
      <c r="D11">
        <f>SUM('2026_Formulas'!JO4:KS4)</f>
        <v>930</v>
      </c>
      <c r="E11">
        <f>SUM('2026_Formulas'!JO5:KS5)</f>
        <v>4</v>
      </c>
      <c r="F11" s="2">
        <f t="shared" si="0"/>
        <v>4.3010752688172043E-3</v>
      </c>
      <c r="G11" s="1">
        <f>SUM('2026_Formulas'!JO6:KS6)</f>
        <v>332.64</v>
      </c>
      <c r="H11" s="1">
        <f t="shared" si="1"/>
        <v>83.16</v>
      </c>
      <c r="I11">
        <f>SUM('2026_Formulas'!JO8:KS8)</f>
        <v>6</v>
      </c>
      <c r="J11" s="1">
        <f>SUM('2026_Formulas'!JO10:KS10)</f>
        <v>15.34</v>
      </c>
      <c r="K11" s="1">
        <f>SUM('2026_Formulas'!JO2:KS2)</f>
        <v>0</v>
      </c>
      <c r="L11" s="1">
        <f>SUM('2026_Formulas'!JO12:KS12)</f>
        <v>347.98</v>
      </c>
    </row>
    <row r="12" spans="1:12" x14ac:dyDescent="0.3">
      <c r="A12" t="s">
        <v>456</v>
      </c>
      <c r="B12" s="4">
        <v>46327</v>
      </c>
      <c r="C12" s="4">
        <v>46356</v>
      </c>
      <c r="D12">
        <f>SUM('2026_Formulas'!KT4:LW4)</f>
        <v>900</v>
      </c>
      <c r="E12">
        <f>SUM('2026_Formulas'!KT5:LW5)</f>
        <v>0</v>
      </c>
      <c r="F12" s="2">
        <f t="shared" si="0"/>
        <v>0</v>
      </c>
      <c r="G12" s="1">
        <f>SUM('2026_Formulas'!KT6:LW6)</f>
        <v>0</v>
      </c>
      <c r="H12" s="1">
        <f t="shared" si="1"/>
        <v>0</v>
      </c>
      <c r="I12">
        <f>SUM('2026_Formulas'!KT8:LW8)</f>
        <v>0</v>
      </c>
      <c r="J12" s="1">
        <f>SUM('2026_Formulas'!KT10:LW10)</f>
        <v>0</v>
      </c>
      <c r="K12" s="1">
        <f>SUM('2026_Formulas'!KT2:LW2)</f>
        <v>0</v>
      </c>
      <c r="L12" s="1">
        <f>SUM('2026_Formulas'!KT12:LW12)</f>
        <v>0</v>
      </c>
    </row>
    <row r="13" spans="1:12" x14ac:dyDescent="0.3">
      <c r="A13" t="s">
        <v>457</v>
      </c>
      <c r="B13" s="4">
        <v>46357</v>
      </c>
      <c r="C13" s="4">
        <v>46387</v>
      </c>
      <c r="D13">
        <f>SUM('2026_Formulas'!LX4:NB4)</f>
        <v>930</v>
      </c>
      <c r="E13">
        <f>SUM('2026_Formulas'!LX5:NB5)</f>
        <v>0</v>
      </c>
      <c r="F13" s="2">
        <f t="shared" si="0"/>
        <v>0</v>
      </c>
      <c r="G13" s="1">
        <f>SUM('2026_Formulas'!LX6:NB6)</f>
        <v>0</v>
      </c>
      <c r="H13" s="1">
        <f t="shared" si="1"/>
        <v>0</v>
      </c>
      <c r="I13">
        <f>SUM('2026_Formulas'!LX8:NB8)</f>
        <v>0</v>
      </c>
      <c r="J13" s="1">
        <f>SUM('2026_Formulas'!LX10:NB10)</f>
        <v>0</v>
      </c>
      <c r="K13" s="1">
        <f>SUM('2026_Formulas'!LX2:NB2)</f>
        <v>0</v>
      </c>
      <c r="L13" s="1">
        <f>SUM('2026_Formulas'!LX12:NB12)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2026_Values</vt:lpstr>
      <vt:lpstr>2026_Formulas</vt:lpstr>
      <vt:lpstr>2026_Weekly</vt:lpstr>
      <vt:lpstr>2026_Monthly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Martins | KaFra Housing</cp:lastModifiedBy>
  <dcterms:created xsi:type="dcterms:W3CDTF">2026-02-25T18:52:24Z</dcterms:created>
  <dcterms:modified xsi:type="dcterms:W3CDTF">2026-02-26T08:24:24Z</dcterms:modified>
</cp:coreProperties>
</file>